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C:\Users\user\Downloads\DATA ANALYST JOBS CV\BEMO EXCEL TEST\"/>
    </mc:Choice>
  </mc:AlternateContent>
  <xr:revisionPtr revIDLastSave="0" documentId="13_ncr:1_{D75C63DE-8DDC-4DE5-ACF5-94A0A00D6E3E}" xr6:coauthVersionLast="47" xr6:coauthVersionMax="47" xr10:uidLastSave="{00000000-0000-0000-0000-000000000000}"/>
  <bookViews>
    <workbookView xWindow="-110" yWindow="-110" windowWidth="19420" windowHeight="10420" xr2:uid="{00000000-000D-0000-FFFF-FFFF00000000}"/>
  </bookViews>
  <sheets>
    <sheet name="Kaggle Sales Data" sheetId="1" r:id="rId1"/>
    <sheet name="Sales by Region" sheetId="2" r:id="rId2"/>
    <sheet name="Sales by Product" sheetId="3" r:id="rId3"/>
    <sheet name="Top 3 Salespersons" sheetId="4" r:id="rId4"/>
    <sheet name="Sales Performance Evaluation" sheetId="5" r:id="rId5"/>
  </sheets>
  <definedNames>
    <definedName name="_xlnm._FilterDatabase" localSheetId="0" hidden="1">'Kaggle Sales Data'!$A$1:$H$201</definedName>
    <definedName name="_xlchart.v2.0" hidden="1">'Top 3 Salespersons'!$J$2:$J$4</definedName>
    <definedName name="_xlchart.v2.1" hidden="1">'Top 3 Salespersons'!$K$2:$K$4</definedName>
    <definedName name="_xlchart.v2.2" hidden="1">'Top 3 Salespersons'!$L$2:$L$4</definedName>
    <definedName name="_xlchart.v2.3" hidden="1">'Top 3 Salespersons'!$J$2:$J$4</definedName>
    <definedName name="_xlchart.v2.4" hidden="1">'Top 3 Salespersons'!$K$2:$K$4</definedName>
    <definedName name="_xlchart.v2.5" hidden="1">'Top 3 Salespersons'!$L$2:$L$4</definedName>
  </definedNames>
  <calcPr calcId="191029"/>
  <pivotCaches>
    <pivotCache cacheId="0" r:id="rId6"/>
  </pivotCaches>
</workbook>
</file>

<file path=xl/calcChain.xml><?xml version="1.0" encoding="utf-8"?>
<calcChain xmlns="http://schemas.openxmlformats.org/spreadsheetml/2006/main">
  <c r="D2" i="5" l="1"/>
  <c r="D3" i="5"/>
  <c r="D4" i="5"/>
  <c r="D5" i="5"/>
  <c r="F3" i="4"/>
  <c r="G3" i="4" s="1"/>
  <c r="F4" i="4"/>
  <c r="F5" i="4"/>
  <c r="G5" i="4" s="1"/>
  <c r="F2" i="4"/>
  <c r="G2" i="4" s="1"/>
  <c r="I3" i="1"/>
  <c r="J3" i="1" s="1"/>
  <c r="I4" i="1"/>
  <c r="J4" i="1" s="1"/>
  <c r="I5" i="1"/>
  <c r="J5" i="1" s="1"/>
  <c r="I6" i="1"/>
  <c r="J6" i="1" s="1"/>
  <c r="I7" i="1"/>
  <c r="J7" i="1" s="1"/>
  <c r="I8" i="1"/>
  <c r="J8" i="1" s="1"/>
  <c r="I9" i="1"/>
  <c r="J9" i="1" s="1"/>
  <c r="I10" i="1"/>
  <c r="J10" i="1" s="1"/>
  <c r="I11" i="1"/>
  <c r="J11" i="1" s="1"/>
  <c r="I12" i="1"/>
  <c r="J12" i="1" s="1"/>
  <c r="I13" i="1"/>
  <c r="J13" i="1" s="1"/>
  <c r="I14" i="1"/>
  <c r="J14" i="1" s="1"/>
  <c r="I15" i="1"/>
  <c r="J15" i="1" s="1"/>
  <c r="I16" i="1"/>
  <c r="J16" i="1" s="1"/>
  <c r="I17" i="1"/>
  <c r="J17" i="1" s="1"/>
  <c r="I18" i="1"/>
  <c r="J18" i="1" s="1"/>
  <c r="I19" i="1"/>
  <c r="J19" i="1" s="1"/>
  <c r="I20" i="1"/>
  <c r="J20" i="1" s="1"/>
  <c r="I21" i="1"/>
  <c r="J21" i="1" s="1"/>
  <c r="I22" i="1"/>
  <c r="J22" i="1" s="1"/>
  <c r="I23" i="1"/>
  <c r="J23" i="1" s="1"/>
  <c r="I24" i="1"/>
  <c r="J24" i="1" s="1"/>
  <c r="I25" i="1"/>
  <c r="J25" i="1" s="1"/>
  <c r="I26" i="1"/>
  <c r="J26" i="1" s="1"/>
  <c r="I27" i="1"/>
  <c r="J27" i="1" s="1"/>
  <c r="I28" i="1"/>
  <c r="J28" i="1" s="1"/>
  <c r="I29" i="1"/>
  <c r="J29" i="1" s="1"/>
  <c r="I30" i="1"/>
  <c r="J30" i="1" s="1"/>
  <c r="I31" i="1"/>
  <c r="J31" i="1" s="1"/>
  <c r="I32" i="1"/>
  <c r="J32" i="1" s="1"/>
  <c r="I33" i="1"/>
  <c r="J33" i="1" s="1"/>
  <c r="I34" i="1"/>
  <c r="J34" i="1" s="1"/>
  <c r="I35" i="1"/>
  <c r="J35" i="1" s="1"/>
  <c r="I36" i="1"/>
  <c r="J36" i="1" s="1"/>
  <c r="I37" i="1"/>
  <c r="J37" i="1" s="1"/>
  <c r="I38" i="1"/>
  <c r="J38" i="1" s="1"/>
  <c r="I39" i="1"/>
  <c r="J39" i="1" s="1"/>
  <c r="I40" i="1"/>
  <c r="J40" i="1" s="1"/>
  <c r="I41" i="1"/>
  <c r="J41" i="1" s="1"/>
  <c r="I42" i="1"/>
  <c r="J42" i="1" s="1"/>
  <c r="I43" i="1"/>
  <c r="J43" i="1" s="1"/>
  <c r="I44" i="1"/>
  <c r="J44" i="1" s="1"/>
  <c r="I45" i="1"/>
  <c r="J45" i="1" s="1"/>
  <c r="I46" i="1"/>
  <c r="J46" i="1" s="1"/>
  <c r="I47" i="1"/>
  <c r="J47" i="1" s="1"/>
  <c r="I48" i="1"/>
  <c r="J48" i="1" s="1"/>
  <c r="I49" i="1"/>
  <c r="J49" i="1" s="1"/>
  <c r="I50" i="1"/>
  <c r="J50" i="1" s="1"/>
  <c r="I51" i="1"/>
  <c r="J51" i="1" s="1"/>
  <c r="I52" i="1"/>
  <c r="J52" i="1" s="1"/>
  <c r="I53" i="1"/>
  <c r="J53" i="1" s="1"/>
  <c r="I54" i="1"/>
  <c r="J54" i="1" s="1"/>
  <c r="I55" i="1"/>
  <c r="J55" i="1" s="1"/>
  <c r="I56" i="1"/>
  <c r="J56" i="1" s="1"/>
  <c r="I57" i="1"/>
  <c r="J57" i="1" s="1"/>
  <c r="I58" i="1"/>
  <c r="J58" i="1" s="1"/>
  <c r="I59" i="1"/>
  <c r="J59" i="1" s="1"/>
  <c r="I60" i="1"/>
  <c r="J60" i="1" s="1"/>
  <c r="I61" i="1"/>
  <c r="J61" i="1" s="1"/>
  <c r="I62" i="1"/>
  <c r="J62" i="1" s="1"/>
  <c r="I63" i="1"/>
  <c r="J63" i="1" s="1"/>
  <c r="I64" i="1"/>
  <c r="J64" i="1" s="1"/>
  <c r="I65" i="1"/>
  <c r="J65" i="1" s="1"/>
  <c r="I66" i="1"/>
  <c r="J66" i="1" s="1"/>
  <c r="I67" i="1"/>
  <c r="J67" i="1" s="1"/>
  <c r="I68" i="1"/>
  <c r="J68" i="1" s="1"/>
  <c r="I69" i="1"/>
  <c r="J69" i="1" s="1"/>
  <c r="I70" i="1"/>
  <c r="J70" i="1" s="1"/>
  <c r="I71" i="1"/>
  <c r="J71" i="1" s="1"/>
  <c r="I72" i="1"/>
  <c r="J72" i="1" s="1"/>
  <c r="I73" i="1"/>
  <c r="J73" i="1" s="1"/>
  <c r="I74" i="1"/>
  <c r="J74" i="1" s="1"/>
  <c r="I75" i="1"/>
  <c r="J75" i="1" s="1"/>
  <c r="I76" i="1"/>
  <c r="J76" i="1" s="1"/>
  <c r="I77" i="1"/>
  <c r="J77" i="1" s="1"/>
  <c r="I78" i="1"/>
  <c r="J78" i="1" s="1"/>
  <c r="I79" i="1"/>
  <c r="J79" i="1" s="1"/>
  <c r="I80" i="1"/>
  <c r="J80" i="1" s="1"/>
  <c r="I81" i="1"/>
  <c r="J81" i="1" s="1"/>
  <c r="I82" i="1"/>
  <c r="J82" i="1" s="1"/>
  <c r="I83" i="1"/>
  <c r="J83" i="1" s="1"/>
  <c r="I84" i="1"/>
  <c r="J84" i="1" s="1"/>
  <c r="I85" i="1"/>
  <c r="J85" i="1" s="1"/>
  <c r="I86" i="1"/>
  <c r="J86" i="1" s="1"/>
  <c r="I87" i="1"/>
  <c r="J87" i="1" s="1"/>
  <c r="I88" i="1"/>
  <c r="J88" i="1" s="1"/>
  <c r="I89" i="1"/>
  <c r="J89" i="1" s="1"/>
  <c r="I90" i="1"/>
  <c r="J90" i="1" s="1"/>
  <c r="I91" i="1"/>
  <c r="J91" i="1" s="1"/>
  <c r="I92" i="1"/>
  <c r="J92" i="1" s="1"/>
  <c r="I93" i="1"/>
  <c r="J93" i="1" s="1"/>
  <c r="I94" i="1"/>
  <c r="J94" i="1" s="1"/>
  <c r="I95" i="1"/>
  <c r="J95" i="1" s="1"/>
  <c r="I96" i="1"/>
  <c r="J96" i="1" s="1"/>
  <c r="I97" i="1"/>
  <c r="J97" i="1" s="1"/>
  <c r="I98" i="1"/>
  <c r="J98" i="1" s="1"/>
  <c r="I99" i="1"/>
  <c r="J99" i="1" s="1"/>
  <c r="I100" i="1"/>
  <c r="J100" i="1" s="1"/>
  <c r="I101" i="1"/>
  <c r="J101" i="1" s="1"/>
  <c r="I102" i="1"/>
  <c r="J102" i="1" s="1"/>
  <c r="I103" i="1"/>
  <c r="J103" i="1" s="1"/>
  <c r="I104" i="1"/>
  <c r="J104" i="1" s="1"/>
  <c r="I105" i="1"/>
  <c r="J105" i="1" s="1"/>
  <c r="I106" i="1"/>
  <c r="J106" i="1" s="1"/>
  <c r="I107" i="1"/>
  <c r="J107" i="1" s="1"/>
  <c r="I108" i="1"/>
  <c r="J108" i="1" s="1"/>
  <c r="I109" i="1"/>
  <c r="J109" i="1" s="1"/>
  <c r="I110" i="1"/>
  <c r="J110" i="1" s="1"/>
  <c r="I111" i="1"/>
  <c r="J111" i="1" s="1"/>
  <c r="I112" i="1"/>
  <c r="J112" i="1" s="1"/>
  <c r="I113" i="1"/>
  <c r="J113" i="1" s="1"/>
  <c r="I114" i="1"/>
  <c r="J114" i="1" s="1"/>
  <c r="I115" i="1"/>
  <c r="J115" i="1" s="1"/>
  <c r="I116" i="1"/>
  <c r="J116" i="1" s="1"/>
  <c r="I117" i="1"/>
  <c r="J117" i="1" s="1"/>
  <c r="I118" i="1"/>
  <c r="J118" i="1" s="1"/>
  <c r="I119" i="1"/>
  <c r="J119" i="1" s="1"/>
  <c r="I120" i="1"/>
  <c r="J120" i="1" s="1"/>
  <c r="I121" i="1"/>
  <c r="J121" i="1" s="1"/>
  <c r="I122" i="1"/>
  <c r="J122" i="1" s="1"/>
  <c r="I123" i="1"/>
  <c r="J123" i="1" s="1"/>
  <c r="I124" i="1"/>
  <c r="J124" i="1" s="1"/>
  <c r="I125" i="1"/>
  <c r="J125" i="1" s="1"/>
  <c r="I126" i="1"/>
  <c r="J126" i="1" s="1"/>
  <c r="I127" i="1"/>
  <c r="J127" i="1" s="1"/>
  <c r="I128" i="1"/>
  <c r="J128" i="1" s="1"/>
  <c r="I129" i="1"/>
  <c r="J129" i="1" s="1"/>
  <c r="I130" i="1"/>
  <c r="J130" i="1" s="1"/>
  <c r="I131" i="1"/>
  <c r="J131" i="1" s="1"/>
  <c r="I132" i="1"/>
  <c r="J132" i="1" s="1"/>
  <c r="I133" i="1"/>
  <c r="J133" i="1" s="1"/>
  <c r="I134" i="1"/>
  <c r="J134" i="1" s="1"/>
  <c r="I135" i="1"/>
  <c r="J135" i="1" s="1"/>
  <c r="I136" i="1"/>
  <c r="J136" i="1" s="1"/>
  <c r="I137" i="1"/>
  <c r="J137" i="1" s="1"/>
  <c r="I138" i="1"/>
  <c r="J138" i="1" s="1"/>
  <c r="I139" i="1"/>
  <c r="J139" i="1" s="1"/>
  <c r="I140" i="1"/>
  <c r="J140" i="1" s="1"/>
  <c r="I141" i="1"/>
  <c r="J141" i="1" s="1"/>
  <c r="I142" i="1"/>
  <c r="J142" i="1" s="1"/>
  <c r="I143" i="1"/>
  <c r="J143" i="1" s="1"/>
  <c r="I144" i="1"/>
  <c r="J144" i="1" s="1"/>
  <c r="I145" i="1"/>
  <c r="J145" i="1" s="1"/>
  <c r="I146" i="1"/>
  <c r="J146" i="1" s="1"/>
  <c r="I147" i="1"/>
  <c r="J147" i="1" s="1"/>
  <c r="I148" i="1"/>
  <c r="J148" i="1" s="1"/>
  <c r="I149" i="1"/>
  <c r="J149" i="1" s="1"/>
  <c r="I150" i="1"/>
  <c r="J150" i="1" s="1"/>
  <c r="I151" i="1"/>
  <c r="J151" i="1" s="1"/>
  <c r="I152" i="1"/>
  <c r="J152" i="1" s="1"/>
  <c r="I153" i="1"/>
  <c r="J153" i="1" s="1"/>
  <c r="I154" i="1"/>
  <c r="J154" i="1" s="1"/>
  <c r="I155" i="1"/>
  <c r="J155" i="1" s="1"/>
  <c r="I156" i="1"/>
  <c r="J156" i="1" s="1"/>
  <c r="I157" i="1"/>
  <c r="J157" i="1" s="1"/>
  <c r="I158" i="1"/>
  <c r="J158" i="1" s="1"/>
  <c r="I159" i="1"/>
  <c r="J159" i="1" s="1"/>
  <c r="I160" i="1"/>
  <c r="J160" i="1" s="1"/>
  <c r="I161" i="1"/>
  <c r="J161" i="1" s="1"/>
  <c r="I162" i="1"/>
  <c r="J162" i="1" s="1"/>
  <c r="I163" i="1"/>
  <c r="J163" i="1" s="1"/>
  <c r="I164" i="1"/>
  <c r="J164" i="1" s="1"/>
  <c r="I165" i="1"/>
  <c r="J165" i="1" s="1"/>
  <c r="I166" i="1"/>
  <c r="J166" i="1" s="1"/>
  <c r="I167" i="1"/>
  <c r="J167" i="1" s="1"/>
  <c r="I168" i="1"/>
  <c r="J168" i="1" s="1"/>
  <c r="I169" i="1"/>
  <c r="J169" i="1" s="1"/>
  <c r="I170" i="1"/>
  <c r="J170" i="1" s="1"/>
  <c r="I171" i="1"/>
  <c r="J171" i="1" s="1"/>
  <c r="I172" i="1"/>
  <c r="J172" i="1" s="1"/>
  <c r="I173" i="1"/>
  <c r="J173" i="1" s="1"/>
  <c r="I174" i="1"/>
  <c r="J174" i="1" s="1"/>
  <c r="I175" i="1"/>
  <c r="J175" i="1" s="1"/>
  <c r="I176" i="1"/>
  <c r="J176" i="1" s="1"/>
  <c r="I177" i="1"/>
  <c r="J177" i="1" s="1"/>
  <c r="I178" i="1"/>
  <c r="J178" i="1" s="1"/>
  <c r="I179" i="1"/>
  <c r="J179" i="1" s="1"/>
  <c r="I180" i="1"/>
  <c r="J180" i="1" s="1"/>
  <c r="I181" i="1"/>
  <c r="J181" i="1" s="1"/>
  <c r="I182" i="1"/>
  <c r="J182" i="1" s="1"/>
  <c r="I183" i="1"/>
  <c r="J183" i="1" s="1"/>
  <c r="I184" i="1"/>
  <c r="J184" i="1" s="1"/>
  <c r="I185" i="1"/>
  <c r="J185" i="1" s="1"/>
  <c r="I186" i="1"/>
  <c r="J186" i="1" s="1"/>
  <c r="I187" i="1"/>
  <c r="J187" i="1" s="1"/>
  <c r="I188" i="1"/>
  <c r="J188" i="1" s="1"/>
  <c r="I189" i="1"/>
  <c r="J189" i="1" s="1"/>
  <c r="I190" i="1"/>
  <c r="J190" i="1" s="1"/>
  <c r="I191" i="1"/>
  <c r="J191" i="1" s="1"/>
  <c r="I192" i="1"/>
  <c r="J192" i="1" s="1"/>
  <c r="I193" i="1"/>
  <c r="J193" i="1" s="1"/>
  <c r="I194" i="1"/>
  <c r="J194" i="1" s="1"/>
  <c r="I195" i="1"/>
  <c r="J195" i="1" s="1"/>
  <c r="I196" i="1"/>
  <c r="J196" i="1" s="1"/>
  <c r="I197" i="1"/>
  <c r="J197" i="1" s="1"/>
  <c r="I198" i="1"/>
  <c r="J198" i="1" s="1"/>
  <c r="I199" i="1"/>
  <c r="J199" i="1" s="1"/>
  <c r="I200" i="1"/>
  <c r="J200" i="1" s="1"/>
  <c r="I201" i="1"/>
  <c r="J201" i="1" s="1"/>
  <c r="I2" i="1"/>
  <c r="J2" i="1"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J2" i="4" l="1"/>
  <c r="K2" i="4"/>
  <c r="J3" i="4"/>
  <c r="G4" i="4"/>
  <c r="K3" i="4" s="1"/>
  <c r="K4" i="4" l="1"/>
  <c r="L4" i="4" s="1"/>
  <c r="J4" i="4"/>
  <c r="L2" i="4" l="1"/>
  <c r="L3" i="4"/>
  <c r="B59" i="1" l="1"/>
  <c r="B127" i="1"/>
  <c r="B200" i="1"/>
  <c r="B179" i="1"/>
  <c r="B95" i="1"/>
  <c r="B51" i="1"/>
  <c r="B32" i="1"/>
  <c r="B18" i="1"/>
  <c r="B12" i="1"/>
  <c r="B9" i="1"/>
  <c r="B125" i="1" l="1"/>
  <c r="B12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2" authorId="0" shapeId="0" xr:uid="{7DDB117C-598A-4A02-835D-9008E0D74261}">
      <text>
        <r>
          <rPr>
            <b/>
            <sz val="9"/>
            <color indexed="81"/>
            <rFont val="Tahoma"/>
            <family val="2"/>
          </rPr>
          <t>user:</t>
        </r>
        <r>
          <rPr>
            <sz val="9"/>
            <color indexed="81"/>
            <rFont val="Tahoma"/>
            <family val="2"/>
          </rPr>
          <t xml:space="preserve">
Wset(29 replacements), Westt(1 replacement)</t>
        </r>
      </text>
    </comment>
    <comment ref="D2" authorId="0" shapeId="0" xr:uid="{A7275B17-0393-43AE-BA64-94DC1755D2C4}">
      <text>
        <r>
          <rPr>
            <b/>
            <sz val="9"/>
            <color indexed="81"/>
            <rFont val="Tahoma"/>
            <family val="2"/>
          </rPr>
          <t>user:</t>
        </r>
        <r>
          <rPr>
            <sz val="9"/>
            <color indexed="81"/>
            <rFont val="Tahoma"/>
            <family val="2"/>
          </rPr>
          <t xml:space="preserve">
we had 37 inputs for Ali Kahn and 45 inputs for Ali Khan. Using Ctrl + H we replaced the 37 inputs with the higher number of inputs for Ali which was Ali Khan.</t>
        </r>
      </text>
    </comment>
    <comment ref="J2" authorId="0" shapeId="0" xr:uid="{A42C53D8-766E-4E80-A456-44C12EA02889}">
      <text>
        <r>
          <rPr>
            <b/>
            <sz val="9"/>
            <color indexed="81"/>
            <rFont val="Tahoma"/>
            <family val="2"/>
          </rPr>
          <t>user:</t>
        </r>
        <r>
          <rPr>
            <sz val="9"/>
            <color indexed="81"/>
            <rFont val="Tahoma"/>
            <family val="2"/>
          </rPr>
          <t xml:space="preserve">
This occurred also because majority of the sales were over $1000 to almost $10,000 and the average sale in this range was $3734</t>
        </r>
      </text>
    </comment>
    <comment ref="C8" authorId="0" shapeId="0" xr:uid="{E3AE3C2F-1E55-4EFD-BCE6-A177617F55DC}">
      <text>
        <r>
          <rPr>
            <b/>
            <sz val="9"/>
            <color indexed="81"/>
            <rFont val="Tahoma"/>
            <family val="2"/>
          </rPr>
          <t>user:</t>
        </r>
        <r>
          <rPr>
            <sz val="9"/>
            <color indexed="81"/>
            <rFont val="Tahoma"/>
            <family val="2"/>
          </rPr>
          <t xml:space="preserve">
Easst(34 replacements), Eastt(1 replacement), </t>
        </r>
      </text>
    </comment>
    <comment ref="B9" authorId="0" shapeId="0" xr:uid="{C33A125F-EE68-4F65-9D7C-61933290291B}">
      <text>
        <r>
          <rPr>
            <b/>
            <sz val="9"/>
            <color indexed="81"/>
            <rFont val="Tahoma"/>
            <family val="2"/>
          </rPr>
          <t>user: I Formatted the cells to align with the other filled date cells based off the custom rule used and inputted this formula to find the average between the cell  above and below to get the answers</t>
        </r>
        <r>
          <rPr>
            <sz val="9"/>
            <color indexed="81"/>
            <rFont val="Tahoma"/>
            <family val="2"/>
          </rPr>
          <t xml:space="preserve">
=IF(AND(B8&lt;&gt;"", B10&lt;&gt;""), (B8 + B10) / 2, "")</t>
        </r>
      </text>
    </comment>
    <comment ref="B12" authorId="0" shapeId="0" xr:uid="{0C7566E7-A238-4D43-9808-028D97CF9D35}">
      <text>
        <r>
          <rPr>
            <b/>
            <sz val="9"/>
            <color indexed="81"/>
            <rFont val="Tahoma"/>
            <family val="2"/>
          </rPr>
          <t>user:</t>
        </r>
        <r>
          <rPr>
            <sz val="9"/>
            <color indexed="81"/>
            <rFont val="Tahoma"/>
            <family val="2"/>
          </rPr>
          <t xml:space="preserve">
=IF(AND(B11&lt;&gt;"", B13&lt;&gt;""), (B11 + B13) / 2, "")</t>
        </r>
      </text>
    </comment>
    <comment ref="B18" authorId="0" shapeId="0" xr:uid="{7C76BE46-6701-4160-AA23-82AEE773B54C}">
      <text>
        <r>
          <rPr>
            <b/>
            <sz val="9"/>
            <color indexed="81"/>
            <rFont val="Tahoma"/>
            <family val="2"/>
          </rPr>
          <t>user:</t>
        </r>
        <r>
          <rPr>
            <sz val="9"/>
            <color indexed="81"/>
            <rFont val="Tahoma"/>
            <family val="2"/>
          </rPr>
          <t xml:space="preserve">
=IF(AND(B17&lt;&gt;"", B19&lt;&gt;""), (B17 + B19) / 2, "")</t>
        </r>
      </text>
    </comment>
    <comment ref="D27" authorId="0" shapeId="0" xr:uid="{7E89832A-44CF-4EB9-B692-184C8E4CCECC}">
      <text>
        <r>
          <rPr>
            <b/>
            <sz val="9"/>
            <color indexed="81"/>
            <rFont val="Tahoma"/>
            <family val="2"/>
          </rPr>
          <t>user:</t>
        </r>
        <r>
          <rPr>
            <sz val="9"/>
            <color indexed="81"/>
            <rFont val="Tahoma"/>
            <family val="2"/>
          </rPr>
          <t xml:space="preserve">
we had 1 record for J. Smith which should be Jane Smith as the first name was recorded as an Initial</t>
        </r>
      </text>
    </comment>
    <comment ref="B32" authorId="0" shapeId="0" xr:uid="{CA74A7E5-A8E4-48F2-A33F-1FD4750CF8D8}">
      <text>
        <r>
          <rPr>
            <b/>
            <sz val="9"/>
            <color indexed="81"/>
            <rFont val="Tahoma"/>
            <family val="2"/>
          </rPr>
          <t>user:</t>
        </r>
        <r>
          <rPr>
            <sz val="9"/>
            <color indexed="81"/>
            <rFont val="Tahoma"/>
            <family val="2"/>
          </rPr>
          <t xml:space="preserve">
=IF(AND(B31&lt;&gt;"", B33&lt;&gt;""), (B31 + B33) / 2, "")</t>
        </r>
      </text>
    </comment>
    <comment ref="B51" authorId="0" shapeId="0" xr:uid="{6B12A012-72B7-4645-90FE-CF76860AE71B}">
      <text>
        <r>
          <rPr>
            <b/>
            <sz val="9"/>
            <color indexed="81"/>
            <rFont val="Tahoma"/>
            <family val="2"/>
          </rPr>
          <t>user:</t>
        </r>
        <r>
          <rPr>
            <sz val="9"/>
            <color indexed="81"/>
            <rFont val="Tahoma"/>
            <family val="2"/>
          </rPr>
          <t xml:space="preserve">
=IF(AND(B50&lt;&gt;"", B52&lt;&gt;""), (B50 + B52) / 2, "")</t>
        </r>
      </text>
    </comment>
    <comment ref="B59" authorId="0" shapeId="0" xr:uid="{B04D8DC4-E3D2-4ABD-8D5D-58E0C24FB495}">
      <text>
        <r>
          <rPr>
            <b/>
            <sz val="9"/>
            <color indexed="81"/>
            <rFont val="Tahoma"/>
            <family val="2"/>
          </rPr>
          <t>user:</t>
        </r>
        <r>
          <rPr>
            <sz val="9"/>
            <color indexed="81"/>
            <rFont val="Tahoma"/>
            <family val="2"/>
          </rPr>
          <t xml:space="preserve">
=IF(AND(B58&lt;&gt;"", B60&lt;&gt;""), (B58 + B60) / 2, "")</t>
        </r>
      </text>
    </comment>
    <comment ref="B95" authorId="0" shapeId="0" xr:uid="{F4F70C6C-D9E4-4CE7-8A57-3CAF182955B4}">
      <text>
        <r>
          <rPr>
            <b/>
            <sz val="9"/>
            <color indexed="81"/>
            <rFont val="Tahoma"/>
            <family val="2"/>
          </rPr>
          <t>user:</t>
        </r>
        <r>
          <rPr>
            <sz val="9"/>
            <color indexed="81"/>
            <rFont val="Tahoma"/>
            <family val="2"/>
          </rPr>
          <t xml:space="preserve">
=IF(AND(B94&lt;&gt;"", B96&lt;&gt;""), (B94 + B96) / 2, "")</t>
        </r>
      </text>
    </comment>
    <comment ref="B124" authorId="0" shapeId="0" xr:uid="{BB6D19D0-FFDC-4D76-A3B9-6938A6587059}">
      <text>
        <r>
          <rPr>
            <b/>
            <sz val="9"/>
            <color indexed="81"/>
            <rFont val="Tahoma"/>
            <family val="2"/>
          </rPr>
          <t>user:</t>
        </r>
        <r>
          <rPr>
            <sz val="9"/>
            <color indexed="81"/>
            <rFont val="Tahoma"/>
            <family val="2"/>
          </rPr>
          <t xml:space="preserve">
=IF(AND(B123&lt;&gt;"", B125&lt;&gt;""), (B123 + B125) / 2, "")</t>
        </r>
      </text>
    </comment>
    <comment ref="B125" authorId="0" shapeId="0" xr:uid="{CAB7AF57-0909-4C22-BC01-A0A7F87B3EDB}">
      <text>
        <r>
          <rPr>
            <b/>
            <sz val="9"/>
            <color indexed="81"/>
            <rFont val="Tahoma"/>
            <family val="2"/>
          </rPr>
          <t>user:</t>
        </r>
        <r>
          <rPr>
            <sz val="9"/>
            <color indexed="81"/>
            <rFont val="Tahoma"/>
            <family val="2"/>
          </rPr>
          <t xml:space="preserve">
=IF(AND(B124&lt;&gt;"", B126&lt;&gt;""), (B124 + B126) / 2, "")</t>
        </r>
      </text>
    </comment>
    <comment ref="B127" authorId="0" shapeId="0" xr:uid="{06AB782A-A3B4-42BF-BB59-C809560C0D29}">
      <text>
        <r>
          <rPr>
            <b/>
            <sz val="9"/>
            <color indexed="81"/>
            <rFont val="Tahoma"/>
            <family val="2"/>
          </rPr>
          <t>user:</t>
        </r>
        <r>
          <rPr>
            <sz val="9"/>
            <color indexed="81"/>
            <rFont val="Tahoma"/>
            <family val="2"/>
          </rPr>
          <t xml:space="preserve">
=IF(AND(B126&lt;&gt;"", B128&lt;&gt;""), (B126 + B128) / 2, "")</t>
        </r>
      </text>
    </comment>
    <comment ref="C152" authorId="0" shapeId="0" xr:uid="{9FF8EB98-80C1-467C-9F1A-CC0EF515D7FA}">
      <text>
        <r>
          <rPr>
            <b/>
            <sz val="9"/>
            <color indexed="81"/>
            <rFont val="Tahoma"/>
            <family val="2"/>
          </rPr>
          <t>user:</t>
        </r>
        <r>
          <rPr>
            <sz val="9"/>
            <color indexed="81"/>
            <rFont val="Tahoma"/>
            <family val="2"/>
          </rPr>
          <t xml:space="preserve">
Soth(1 replacement)</t>
        </r>
      </text>
    </comment>
    <comment ref="B179" authorId="0" shapeId="0" xr:uid="{B9FC902D-35D9-4363-860B-5DCDB05621F2}">
      <text>
        <r>
          <rPr>
            <b/>
            <sz val="9"/>
            <color indexed="81"/>
            <rFont val="Tahoma"/>
            <family val="2"/>
          </rPr>
          <t>user:</t>
        </r>
        <r>
          <rPr>
            <sz val="9"/>
            <color indexed="81"/>
            <rFont val="Tahoma"/>
            <family val="2"/>
          </rPr>
          <t xml:space="preserve">
=IF(AND(B178&lt;&gt;"", B180&lt;&gt;""), (B178 + B180) / 2, "")</t>
        </r>
      </text>
    </comment>
    <comment ref="B200" authorId="0" shapeId="0" xr:uid="{D93AE4A6-CA7E-4F5D-AC8D-D1D1F0540EBE}">
      <text>
        <r>
          <rPr>
            <b/>
            <sz val="9"/>
            <color indexed="81"/>
            <rFont val="Tahoma"/>
            <family val="2"/>
          </rPr>
          <t>user:</t>
        </r>
        <r>
          <rPr>
            <sz val="9"/>
            <color indexed="81"/>
            <rFont val="Tahoma"/>
            <family val="2"/>
          </rPr>
          <t xml:space="preserve">
=IF(AND(B199&lt;&gt;"", B201&lt;&gt;""), (B199 + B201) / 2,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2" authorId="0" shapeId="0" xr:uid="{7A9014C9-CFFF-4434-A338-00A977B741E0}">
      <text>
        <r>
          <rPr>
            <b/>
            <sz val="9"/>
            <color indexed="81"/>
            <rFont val="Tahoma"/>
            <family val="2"/>
          </rPr>
          <t>user:</t>
        </r>
        <r>
          <rPr>
            <sz val="9"/>
            <color indexed="81"/>
            <rFont val="Tahoma"/>
            <family val="2"/>
          </rPr>
          <t xml:space="preserve">
Top Salesperson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4" authorId="0" shapeId="0" xr:uid="{0E62DD3B-2845-482A-B55A-4EB9DB7D32CC}">
      <text>
        <r>
          <rPr>
            <b/>
            <sz val="9"/>
            <color indexed="81"/>
            <rFont val="Tahoma"/>
            <family val="2"/>
          </rPr>
          <t>user:</t>
        </r>
        <r>
          <rPr>
            <sz val="9"/>
            <color indexed="81"/>
            <rFont val="Tahoma"/>
            <family val="2"/>
          </rPr>
          <t xml:space="preserve">
Region that needs the most improvement due to having the smallest surplus.</t>
        </r>
      </text>
    </comment>
  </commentList>
</comments>
</file>

<file path=xl/sharedStrings.xml><?xml version="1.0" encoding="utf-8"?>
<sst xmlns="http://schemas.openxmlformats.org/spreadsheetml/2006/main" count="1045" uniqueCount="231">
  <si>
    <t>Transaction ID</t>
  </si>
  <si>
    <t>Date</t>
  </si>
  <si>
    <t>Region</t>
  </si>
  <si>
    <t>Salesperson</t>
  </si>
  <si>
    <t>Product</t>
  </si>
  <si>
    <t>Quantity</t>
  </si>
  <si>
    <t>Unit Price</t>
  </si>
  <si>
    <t>TXN1000</t>
  </si>
  <si>
    <t>TXN1001</t>
  </si>
  <si>
    <t>TXN1002</t>
  </si>
  <si>
    <t>TXN1003</t>
  </si>
  <si>
    <t>TXN1004</t>
  </si>
  <si>
    <t>TXN1005</t>
  </si>
  <si>
    <t>TXN1006</t>
  </si>
  <si>
    <t>TXN1007</t>
  </si>
  <si>
    <t>TXN1008</t>
  </si>
  <si>
    <t>TXN1009</t>
  </si>
  <si>
    <t>TXN1010</t>
  </si>
  <si>
    <t>TXN1011</t>
  </si>
  <si>
    <t>TXN1012</t>
  </si>
  <si>
    <t>TXN1013</t>
  </si>
  <si>
    <t>TXN1014</t>
  </si>
  <si>
    <t>TXN1015</t>
  </si>
  <si>
    <t>TXN1016</t>
  </si>
  <si>
    <t>TXN1017</t>
  </si>
  <si>
    <t>TXN1018</t>
  </si>
  <si>
    <t>TXN1019</t>
  </si>
  <si>
    <t>TXN1020</t>
  </si>
  <si>
    <t>TXN1021</t>
  </si>
  <si>
    <t>TXN1022</t>
  </si>
  <si>
    <t>TXN1023</t>
  </si>
  <si>
    <t>TXN1024</t>
  </si>
  <si>
    <t>TXN1025</t>
  </si>
  <si>
    <t>TXN1026</t>
  </si>
  <si>
    <t>TXN1027</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</si>
  <si>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</si>
  <si>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</si>
  <si>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</si>
  <si>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</si>
  <si>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</si>
  <si>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</si>
  <si>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</si>
  <si>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</si>
  <si>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</si>
  <si>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</si>
  <si>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</si>
  <si>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</si>
  <si>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</si>
  <si>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</si>
  <si>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</si>
  <si>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</si>
  <si>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</si>
  <si>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</si>
  <si>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</si>
  <si>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</si>
  <si>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</si>
  <si>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</si>
  <si>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</si>
  <si>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</si>
  <si>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</si>
  <si>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</si>
  <si>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</si>
  <si>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</si>
  <si>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</si>
  <si>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</si>
  <si>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</si>
  <si>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</si>
  <si>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</si>
  <si>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</si>
  <si>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</si>
  <si>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</si>
  <si>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</si>
  <si>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</si>
  <si>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</si>
  <si>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</si>
  <si>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</si>
  <si>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</si>
  <si>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</si>
  <si>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</si>
  <si>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</si>
  <si>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</si>
  <si>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</si>
  <si>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</si>
  <si>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</si>
  <si>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</si>
  <si>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</si>
  <si>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</si>
  <si>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</si>
  <si>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</si>
  <si>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</si>
  <si>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</si>
  <si>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</si>
  <si>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</si>
  <si>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</si>
  <si>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</si>
  <si>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</si>
  <si>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</si>
  <si>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</si>
  <si>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</si>
  <si>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</si>
  <si>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</si>
  <si>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</si>
  <si>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</si>
  <si>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</si>
  <si>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</si>
  <si>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</si>
  <si>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</si>
  <si>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</si>
  <si>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</si>
  <si>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</si>
  <si>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</si>
  <si>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</si>
  <si>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</si>
  <si>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</si>
  <si>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</si>
  <si>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</si>
  <si>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</si>
  <si>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</si>
  <si>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</si>
  <si>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</si>
  <si>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</si>
  <si>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</si>
  <si>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</si>
  <si>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</si>
  <si>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</si>
  <si>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</si>
  <si>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</si>
  <si>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</si>
  <si>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</si>
  <si>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</si>
  <si>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</si>
  <si>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</si>
  <si>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</si>
  <si>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</si>
  <si>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</si>
  <si>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</si>
  <si>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</si>
  <si>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</si>
  <si>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</si>
  <si>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</si>
  <si>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</si>
  <si>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</si>
  <si>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</si>
  <si>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</si>
  <si>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</si>
  <si>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</si>
  <si>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</si>
  <si>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</si>
  <si>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</si>
  <si>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</si>
  <si>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</si>
  <si>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</si>
  <si>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</si>
  <si>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</si>
  <si>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</si>
  <si>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</si>
  <si>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</si>
  <si>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</si>
  <si>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</si>
  <si>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</si>
  <si>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</si>
  <si>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</si>
  <si>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</si>
  <si>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</si>
  <si>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</si>
  <si>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</si>
  <si>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</si>
  <si>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</si>
  <si>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</si>
  <si>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</si>
  <si>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</si>
  <si>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</si>
  <si>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</si>
  <si>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</si>
  <si>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</si>
  <si>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</si>
  <si>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</si>
  <si>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</si>
  <si>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</si>
  <si>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</si>
  <si>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</si>
  <si>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</si>
  <si>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</si>
  <si>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</si>
  <si>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</si>
  <si>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</si>
  <si>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</si>
  <si>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</si>
  <si>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</si>
  <si>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</si>
  <si>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</si>
  <si>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</si>
  <si>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</si>
  <si>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</si>
  <si>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</si>
  <si>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</si>
  <si>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</si>
  <si>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</si>
  <si>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</si>
  <si>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</si>
  <si>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</si>
  <si>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</si>
  <si>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</si>
  <si>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</si>
  <si>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</si>
  <si>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</si>
  <si>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</si>
  <si>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West</t>
  </si>
  <si>
    <t>South</t>
  </si>
  <si>
    <t>East</t>
  </si>
  <si>
    <t>North</t>
  </si>
  <si>
    <t>John Doe</t>
  </si>
  <si>
    <t>Maria Lee</t>
  </si>
  <si>
    <t>Jane Smith</t>
  </si>
  <si>
    <t>Ali Khan</t>
  </si>
  <si>
    <t>Furniture</t>
  </si>
  <si>
    <t>Clothing</t>
  </si>
  <si>
    <t>Electronics</t>
  </si>
  <si>
    <t>Data Issue</t>
  </si>
  <si>
    <t>Total Sales</t>
  </si>
  <si>
    <t>Row Labels</t>
  </si>
  <si>
    <t>Sum of Total Sales</t>
  </si>
  <si>
    <t>Grand Total</t>
  </si>
  <si>
    <t>* The East Region had the most sales in the entire region</t>
  </si>
  <si>
    <t>* Furniture had the most sales by Product</t>
  </si>
  <si>
    <t>Rank</t>
  </si>
  <si>
    <t>Top Salesperson</t>
  </si>
  <si>
    <t>Discount</t>
  </si>
  <si>
    <t>Target Sales</t>
  </si>
  <si>
    <t>Actual Sales</t>
  </si>
  <si>
    <t>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</si>
</sst>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yyyy\-mm\-dd\ hh:mm:ss"/>
    <numFmt numFmtId="165" formatCode="&quot;$&quot;#,##0.0"/>
    <numFmt numFmtId="166" formatCode="&quot;$&quot;#,##0"/>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9"/>
      <color indexed="81"/>
      <name val="Tahoma"/>
      <family val="2"/>
    </font>
    <font>
      <b/>
      <sz val="9"/>
      <color indexed="81"/>
      <name val="Tahoma"/>
      <family val="2"/>
    </font>
    <font>
      <b/>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rgb="FF00B05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top/>
      <bottom style="thin">
        <color indexed="64"/>
      </bottom>
      <diagonal/>
    </border>
    <border>
      <left/>
      <right/>
      <top/>
      <bottom style="thin">
        <color indexed="64"/>
      </bottom>
      <diagonal/>
    </border>
  </borders>
  <cellStyleXfs count="2">
    <xf numFmtId="0" fontId="0" fillId="0" borderId="0"/>
    <xf numFmtId="44" fontId="2" fillId="0" borderId="0" applyFont="0" applyFill="0" applyBorder="0" applyAlignment="0" applyProtection="0"/>
  </cellStyleXfs>
  <cellXfs count="21">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1" fillId="0" borderId="0" xfId="0" applyFont="1"/>
    <xf numFmtId="166" fontId="1" fillId="0" borderId="3" xfId="1" applyNumberFormat="1" applyFont="1" applyBorder="1"/>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0" fillId="2" borderId="0" xfId="0" applyFill="1" applyAlignment="1">
      <alignment horizontal="left"/>
    </xf>
    <xf numFmtId="166" fontId="0" fillId="2" borderId="0" xfId="0" applyNumberFormat="1" applyFill="1"/>
    <xf numFmtId="0" fontId="1" fillId="0" borderId="4" xfId="0" applyFont="1" applyBorder="1"/>
    <xf numFmtId="166" fontId="1" fillId="0" borderId="4" xfId="1" applyNumberFormat="1" applyFont="1" applyBorder="1"/>
    <xf numFmtId="165" fontId="0" fillId="0" borderId="0" xfId="0" applyNumberFormat="1"/>
    <xf numFmtId="166" fontId="1" fillId="0" borderId="0" xfId="0" applyNumberFormat="1" applyFont="1"/>
    <xf numFmtId="165" fontId="1" fillId="0" borderId="2" xfId="0" applyNumberFormat="1" applyFont="1" applyBorder="1" applyAlignment="1">
      <alignment horizontal="center" vertical="top"/>
    </xf>
    <xf numFmtId="0" fontId="5" fillId="0" borderId="4" xfId="0" applyFont="1" applyBorder="1"/>
    <xf numFmtId="166" fontId="5" fillId="0" borderId="4" xfId="0" applyNumberFormat="1" applyFont="1" applyBorder="1"/>
    <xf numFmtId="0" fontId="6" fillId="0" borderId="0" xfId="0" applyFont="1"/>
    <xf numFmtId="166" fontId="6" fillId="0" borderId="0" xfId="0" applyNumberFormat="1" applyFont="1"/>
  </cellXfs>
  <cellStyles count="2">
    <cellStyle name="Currency" xfId="1" builtinId="4"/>
    <cellStyle name="Normal" xfId="0" builtinId="0"/>
  </cellStyles>
  <dxfs count="14">
    <dxf>
      <fill>
        <patternFill>
          <bgColor theme="6"/>
        </patternFill>
      </fill>
    </dxf>
    <dxf>
      <font>
        <b val="0"/>
        <i val="0"/>
        <strike val="0"/>
        <condense val="0"/>
        <extend val="0"/>
        <outline val="0"/>
        <shadow val="0"/>
        <u val="none"/>
        <vertAlign val="baseline"/>
        <sz val="12"/>
        <color theme="1"/>
        <name val="Calibri"/>
        <family val="2"/>
        <scheme val="minor"/>
      </font>
      <numFmt numFmtId="0" formatCode="General"/>
    </dxf>
    <dxf>
      <font>
        <b val="0"/>
        <i val="0"/>
        <strike val="0"/>
        <condense val="0"/>
        <extend val="0"/>
        <outline val="0"/>
        <shadow val="0"/>
        <u val="none"/>
        <vertAlign val="baseline"/>
        <sz val="12"/>
        <color theme="1"/>
        <name val="Calibri"/>
        <family val="2"/>
        <scheme val="minor"/>
      </font>
      <numFmt numFmtId="166" formatCode="&quot;$&quot;#,##0"/>
    </dxf>
    <dxf>
      <font>
        <b val="0"/>
        <i val="0"/>
        <strike val="0"/>
        <condense val="0"/>
        <extend val="0"/>
        <outline val="0"/>
        <shadow val="0"/>
        <u val="none"/>
        <vertAlign val="baseline"/>
        <sz val="12"/>
        <color theme="1"/>
        <name val="Calibri"/>
        <family val="2"/>
        <scheme val="minor"/>
      </font>
      <numFmt numFmtId="166" formatCode="&quot;$&quot;#,##0"/>
    </dxf>
    <dxf>
      <font>
        <b val="0"/>
        <i val="0"/>
        <strike val="0"/>
        <condense val="0"/>
        <extend val="0"/>
        <outline val="0"/>
        <shadow val="0"/>
        <u val="none"/>
        <vertAlign val="baseline"/>
        <sz val="12"/>
        <color theme="1"/>
        <name val="Calibri"/>
        <family val="2"/>
        <scheme val="minor"/>
      </font>
    </dxf>
    <dxf>
      <border outline="0">
        <bottom style="thin">
          <color indexed="64"/>
        </bottom>
      </border>
    </dxf>
    <dxf>
      <numFmt numFmtId="166" formatCode="&quot;$&quot;#,##0"/>
    </dxf>
    <dxf>
      <fill>
        <patternFill patternType="solid">
          <bgColor rgb="FF00B050"/>
        </patternFill>
      </fill>
    </dxf>
    <dxf>
      <fill>
        <patternFill patternType="solid">
          <bgColor rgb="FF00B050"/>
        </patternFill>
      </fill>
    </dxf>
    <dxf>
      <numFmt numFmtId="165" formatCode="&quot;$&quot;#,##0.0"/>
    </dxf>
    <dxf>
      <font>
        <b val="0"/>
        <i val="0"/>
        <strike val="0"/>
        <condense val="0"/>
        <extend val="0"/>
        <outline val="0"/>
        <shadow val="0"/>
        <u val="none"/>
        <vertAlign val="baseline"/>
        <sz val="11"/>
        <color theme="1"/>
        <name val="Calibri"/>
        <family val="2"/>
        <scheme val="minor"/>
      </font>
      <numFmt numFmtId="166" formatCode="&quot;$&quot;#,##0"/>
    </dxf>
    <dxf>
      <numFmt numFmtId="164" formatCode="yyyy\-mm\-dd\ hh:mm:ss"/>
    </dxf>
    <dxf>
      <border outline="0">
        <bottom style="thin">
          <color indexed="64"/>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[Sales_Data_SimiOduba.xlsx]Sales by Region!Total Sales By Region</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 by Region'!$B$3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East</c:v>
                </c:pt>
                <c:pt idx="1">
                  <c:v>North</c:v>
                </c:pt>
                <c:pt idx="2">
                  <c:v>South</c:v>
                </c:pt>
                <c:pt idx="3">
                  <c:v>West</c:v>
                </c:pt>
              </c:strCache>
            </c:strRef>
          </c:cat>
          <c:val>
            <c:numRef>
              <c:f>'Sales by Region'!$B$4:$B$8</c:f>
              <c:numCache>
                <c:formatCode>"$"#,##0</c:formatCode>
                <c:ptCount val="4"/>
                <c:pt idx="0">
                  <c:v>201184</c:v>
                </c:pt>
                <c:pt idx="1">
                  <c:v>65481</c:v>
                </c:pt>
                <c:pt idx="2">
                  <c:v>106631</c:v>
                </c:pt>
                <c:pt idx="3">
                  <c:v>125281</c:v>
                </c:pt>
              </c:numCache>
            </c:numRef>
          </c:val>
          <c:extLst>
            <c:ext xmlns:c16="http://schemas.microsoft.com/office/drawing/2014/chart" uri="{C3380CC4-5D6E-409C-BE32-E72D297353CC}">
              <c16:uniqueId val="{00000000-F58F-4B3F-94FE-D2673813D6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[Sales_Data_SimiOduba.xlsx]Sales by Product!Total Sales By Product</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3"/>
                </a:solidFill>
              </a:ln>
              <a:effectLst/>
            </c:spPr>
            <c:trendlineType val="linear"/>
            <c:dispRSqr val="0"/>
            <c:dispEq val="0"/>
          </c:trendline>
          <c:errBars>
            <c:errBarType val="both"/>
            <c:errValType val="stdErr"/>
            <c:noEndCap val="0"/>
            <c:spPr>
              <a:noFill/>
              <a:ln w="9525" cap="flat" cmpd="sng" algn="ctr">
                <a:solidFill>
                  <a:schemeClr val="tx1">
                    <a:lumMod val="65000"/>
                    <a:lumOff val="35000"/>
                  </a:schemeClr>
                </a:solidFill>
                <a:round/>
              </a:ln>
              <a:effectLst/>
            </c:spPr>
          </c:errBars>
          <c:cat>
            <c:strRef>
              <c:f>'Sales by Product'!$A$4:$A$7</c:f>
              <c:strCache>
                <c:ptCount val="3"/>
                <c:pt idx="0">
                  <c:v>Clothing</c:v>
                </c:pt>
                <c:pt idx="1">
                  <c:v>Electronics</c:v>
                </c:pt>
                <c:pt idx="2">
                  <c:v>Furniture</c:v>
                </c:pt>
              </c:strCache>
            </c:strRef>
          </c:cat>
          <c:val>
            <c:numRef>
              <c:f>'Sales by Product'!$B$4:$B$7</c:f>
              <c:numCache>
                <c:formatCode>"$"#,##0</c:formatCode>
                <c:ptCount val="3"/>
                <c:pt idx="0">
                  <c:v>157951</c:v>
                </c:pt>
                <c:pt idx="1">
                  <c:v>156384</c:v>
                </c:pt>
                <c:pt idx="2">
                  <c:v>184242</c:v>
                </c:pt>
              </c:numCache>
            </c:numRef>
          </c:val>
          <c:extLst>
            <c:ext xmlns:c16="http://schemas.microsoft.com/office/drawing/2014/chart" uri="{C3380CC4-5D6E-409C-BE32-E72D297353CC}">
              <c16:uniqueId val="{00000000-0466-43C0-A5FC-5628C79271A2}"/>
            </c:ext>
          </c:extLst>
        </c:ser>
        <c:dLbls>
          <c:dLblPos val="outEnd"/>
          <c:showLegendKey val="0"/>
          <c:showVal val="1"/>
          <c:showCatName val="0"/>
          <c:showSerName val="0"/>
          <c:showPercent val="0"/>
          <c:showBubbleSize val="0"/>
        </c:dLbls>
        <c:gapWidth val="100"/>
        <c:overlap val="-24"/>
        <c:axId val="1086527488"/>
        <c:axId val="1086545728"/>
      </c:barChart>
      <c:catAx>
        <c:axId val="10865274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545728"/>
        <c:crosses val="autoZero"/>
        <c:auto val="1"/>
        <c:lblAlgn val="ctr"/>
        <c:lblOffset val="100"/>
        <c:noMultiLvlLbl val="0"/>
      </c:catAx>
      <c:valAx>
        <c:axId val="1086545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527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data id="1">
      <cx:strDim type="cat">
        <cx:f>_xlchart.v2.0</cx:f>
      </cx:strDim>
      <cx:numDim type="val">
        <cx:f>_xlchart.v2.2</cx:f>
      </cx:numDim>
    </cx:data>
  </cx:chartData>
  <cx:chart>
    <cx:title pos="t" align="ctr" overlay="0">
      <cx:tx>
        <cx:txData>
          <cx:v>Top 3 Salesperson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3 Salesperson</a:t>
          </a:r>
        </a:p>
      </cx:txPr>
    </cx:title>
    <cx:plotArea>
      <cx:plotAreaRegion>
        <cx:series layoutId="funnel" uniqueId="{00692063-BFAF-4D5E-B746-DC9094A79533}" formatIdx="0">
          <cx:dataLabels>
            <cx:visibility seriesName="0" categoryName="0" value="1"/>
          </cx:dataLabels>
          <cx:dataId val="0"/>
        </cx:series>
        <cx:series layoutId="funnel" hidden="1" uniqueId="{5E1EF423-9F85-40B3-830C-F5A32A18788C}" formatIdx="1">
          <cx:dataLabels>
            <cx:visibility seriesName="0" categoryName="0" value="1"/>
          </cx:dataLabels>
          <cx:dataId val="1"/>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654050</xdr:colOff>
      <xdr:row>5</xdr:row>
      <xdr:rowOff>158750</xdr:rowOff>
    </xdr:from>
    <xdr:to>
      <xdr:col>6</xdr:col>
      <xdr:colOff>12700</xdr:colOff>
      <xdr:row>20</xdr:row>
      <xdr:rowOff>139700</xdr:rowOff>
    </xdr:to>
    <xdr:graphicFrame macro="">
      <xdr:nvGraphicFramePr>
        <xdr:cNvPr id="2" name="Chart 1">
          <a:extLst>
            <a:ext uri="{FF2B5EF4-FFF2-40B4-BE49-F238E27FC236}">
              <a16:creationId xmlns:a16="http://schemas.microsoft.com/office/drawing/2014/main" id="{CBD19732-2380-CBFC-47DE-AEAD2F0B5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425450</xdr:colOff>
      <xdr:row>6</xdr:row>
      <xdr:rowOff>88900</xdr:rowOff>
    </xdr:from>
    <xdr:to>
      <xdr:col>7</xdr:col>
      <xdr:colOff>101600</xdr:colOff>
      <xdr:row>21</xdr:row>
      <xdr:rowOff>69850</xdr:rowOff>
    </xdr:to>
    <xdr:graphicFrame macro="">
      <xdr:nvGraphicFramePr>
        <xdr:cNvPr id="2" name="Chart 1">
          <a:extLst>
            <a:ext uri="{FF2B5EF4-FFF2-40B4-BE49-F238E27FC236}">
              <a16:creationId xmlns:a16="http://schemas.microsoft.com/office/drawing/2014/main" id="{449C9AF3-3608-D9AD-4474-5292DEBF0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577915</xdr:colOff>
      <xdr:row>5</xdr:row>
      <xdr:rowOff>103652</xdr:rowOff>
    </xdr:from>
    <xdr:to>
      <xdr:col>9</xdr:col>
      <xdr:colOff>1109006</xdr:colOff>
      <xdr:row>20</xdr:row>
      <xdr:rowOff>56701</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1D46A312-E9C7-FA3A-BDAD-D9E2FF4F74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70693" y="1033703"/>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xdr:colOff>
      <xdr:row>1</xdr:row>
      <xdr:rowOff>0</xdr:rowOff>
    </xdr:from>
    <xdr:to>
      <xdr:col>4</xdr:col>
      <xdr:colOff>5422900</xdr:colOff>
      <xdr:row>5</xdr:row>
      <xdr:rowOff>31750</xdr:rowOff>
    </xdr:to>
    <xdr:sp macro="" textlink="">
      <xdr:nvSpPr>
        <xdr:cNvPr id="2" name="TextBox 1">
          <a:extLst>
            <a:ext uri="{FF2B5EF4-FFF2-40B4-BE49-F238E27FC236}">
              <a16:creationId xmlns:a16="http://schemas.microsoft.com/office/drawing/2014/main" id="{52173910-B59D-5DFB-9316-E3CE43098324}"/>
            </a:ext>
          </a:extLst>
        </xdr:cNvPr>
        <xdr:cNvSpPr txBox="1"/>
      </xdr:nvSpPr>
      <xdr:spPr>
        <a:xfrm>
          <a:off x="5670550" y="196850"/>
          <a:ext cx="5397500" cy="819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chemeClr val="dk1"/>
              </a:solidFill>
              <a:effectLst/>
              <a:latin typeface="+mn-lt"/>
              <a:ea typeface="+mn-ea"/>
              <a:cs typeface="+mn-cs"/>
            </a:rPr>
            <a:t>*All the Regions met and passed their targets but looking at the relative performance amongst the regions, the North region is the region that needs the most improvement as it has the smallest surplus compared to the other regions and its performance is the lowest compared to East and West which has higher actual sales compared to their targets</a:t>
          </a:r>
          <a:endParaRPr lang="en-US" sz="1100" kern="12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677.556803587962" createdVersion="8" refreshedVersion="8" minRefreshableVersion="3" recordCount="200" xr:uid="{2717CB27-165A-41B8-8670-DB1ACA4FA3E1}">
  <cacheSource type="worksheet">
    <worksheetSource ref="A1:I201" sheet="Kaggle Sales Data"/>
  </cacheSource>
  <cacheFields count="9">
    <cacheField name="Transaction ID" numFmtId="0">
      <sharedItems/>
    </cacheField>
    <cacheField name="Date" numFmtId="164">
      <sharedItems containsSemiMixedTypes="0" containsNonDate="0" containsDate="1" containsString="0" minDate="2024-01-01T00:00:00" maxDate="2024-03-02T00:00:00"/>
    </cacheField>
    <cacheField name="Region" numFmtId="0">
      <sharedItems count="4">
        <s v="West"/>
        <s v="South"/>
        <s v="East"/>
        <s v="North"/>
      </sharedItems>
    </cacheField>
    <cacheField name="Salesperson" numFmtId="0">
      <sharedItems/>
    </cacheField>
    <cacheField name="Product" numFmtId="0">
      <sharedItems count="3">
        <s v="Furniture"/>
        <s v="Clothing"/>
        <s v="Electronics"/>
      </sharedItems>
    </cacheField>
    <cacheField name="Quantity" numFmtId="0">
      <sharedItems containsString="0" containsBlank="1" containsNumber="1" containsInteger="1" minValue="1" maxValue="20"/>
    </cacheField>
    <cacheField name="Unit Price" numFmtId="0">
      <sharedItems containsString="0" containsBlank="1" containsNumber="1" containsInteger="1" minValue="58" maxValue="496"/>
    </cacheField>
    <cacheField name="Data Issue" numFmtId="0">
      <sharedItems/>
    </cacheField>
    <cacheField name="Total Sales" numFmtId="166">
      <sharedItems containsSemiMixedTypes="0" containsString="0" containsNumber="1" containsInteger="1" minValue="0" maxValue="96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TXN1000"/>
    <d v="2024-02-12T00:00:00"/>
    <x v="0"/>
    <s v="Ali Khan"/>
    <x v="0"/>
    <n v="8"/>
    <n v="309"/>
    <s v=""/>
    <n v="2472"/>
  </r>
  <r>
    <s v="TXN1001"/>
    <d v="2024-01-22T00:00:00"/>
    <x v="0"/>
    <s v="John Doe"/>
    <x v="0"/>
    <n v="15"/>
    <n v="309"/>
    <s v=""/>
    <n v="4635"/>
  </r>
  <r>
    <s v="TXN1002"/>
    <d v="2024-01-05T00:00:00"/>
    <x v="0"/>
    <s v="Ali Khan"/>
    <x v="0"/>
    <n v="4"/>
    <n v="249"/>
    <s v=""/>
    <n v="996"/>
  </r>
  <r>
    <s v="TXN1003"/>
    <d v="2024-01-18T00:00:00"/>
    <x v="1"/>
    <s v="Maria Lee"/>
    <x v="1"/>
    <n v="11"/>
    <n v="72"/>
    <s v=""/>
    <n v="792"/>
  </r>
  <r>
    <s v="TXN1004"/>
    <d v="2024-02-02T00:00:00"/>
    <x v="2"/>
    <s v="John Doe"/>
    <x v="1"/>
    <n v="12"/>
    <n v="241"/>
    <s v=""/>
    <n v="2892"/>
  </r>
  <r>
    <s v="TXN1005"/>
    <d v="2024-02-23T00:00:00"/>
    <x v="2"/>
    <s v="Jane Smith"/>
    <x v="1"/>
    <n v="16"/>
    <n v="58"/>
    <s v=""/>
    <n v="928"/>
  </r>
  <r>
    <s v="TXN1006"/>
    <d v="2024-03-01T00:00:00"/>
    <x v="2"/>
    <s v="John Doe"/>
    <x v="2"/>
    <m/>
    <n v="84"/>
    <s v="Check Quantity/Price"/>
    <n v="0"/>
  </r>
  <r>
    <s v="TXN1007"/>
    <d v="2024-02-08T00:00:00"/>
    <x v="3"/>
    <s v="Maria Lee"/>
    <x v="1"/>
    <n v="3"/>
    <n v="425"/>
    <s v=""/>
    <n v="1275"/>
  </r>
  <r>
    <s v="TXN1008"/>
    <d v="2024-01-17T00:00:00"/>
    <x v="2"/>
    <s v="John Doe"/>
    <x v="2"/>
    <n v="12"/>
    <n v="103"/>
    <s v=""/>
    <n v="1236"/>
  </r>
  <r>
    <s v="TXN1009"/>
    <d v="2024-01-17T00:00:00"/>
    <x v="1"/>
    <s v="Jane Smith"/>
    <x v="0"/>
    <n v="18"/>
    <n v="426"/>
    <s v=""/>
    <n v="7668"/>
  </r>
  <r>
    <s v="TXN1010"/>
    <d v="2024-01-20T00:00:00"/>
    <x v="1"/>
    <s v="Maria Lee"/>
    <x v="2"/>
    <m/>
    <n v="118"/>
    <s v="Check Quantity/Price"/>
    <n v="0"/>
  </r>
  <r>
    <s v="TXN1011"/>
    <d v="2024-01-23T00:00:00"/>
    <x v="3"/>
    <s v="Ali Khan"/>
    <x v="0"/>
    <n v="18"/>
    <m/>
    <s v="Check Quantity/Price"/>
    <n v="0"/>
  </r>
  <r>
    <s v="TXN1012"/>
    <d v="2024-01-21T00:00:00"/>
    <x v="0"/>
    <s v="Ali Khan"/>
    <x v="2"/>
    <n v="4"/>
    <n v="466"/>
    <s v=""/>
    <n v="1864"/>
  </r>
  <r>
    <s v="TXN1013"/>
    <d v="2024-02-02T00:00:00"/>
    <x v="2"/>
    <s v="Ali Khan"/>
    <x v="1"/>
    <n v="14"/>
    <n v="475"/>
    <s v=""/>
    <n v="6650"/>
  </r>
  <r>
    <s v="TXN1014"/>
    <d v="2024-02-27T00:00:00"/>
    <x v="3"/>
    <s v="Maria Lee"/>
    <x v="0"/>
    <n v="2"/>
    <n v="287"/>
    <s v=""/>
    <n v="574"/>
  </r>
  <r>
    <s v="TXN1015"/>
    <d v="2024-01-17T00:00:00"/>
    <x v="1"/>
    <s v="Maria Lee"/>
    <x v="2"/>
    <n v="20"/>
    <n v="295"/>
    <s v=""/>
    <n v="5900"/>
  </r>
  <r>
    <s v="TXN1016"/>
    <d v="2024-01-25T12:00:00"/>
    <x v="2"/>
    <s v="Maria Lee"/>
    <x v="2"/>
    <n v="4"/>
    <n v="465"/>
    <s v=""/>
    <n v="1860"/>
  </r>
  <r>
    <s v="TXN1017"/>
    <d v="2024-02-03T00:00:00"/>
    <x v="2"/>
    <s v="Jane Smith"/>
    <x v="1"/>
    <n v="7"/>
    <n v="416"/>
    <s v=""/>
    <n v="2912"/>
  </r>
  <r>
    <s v="TXN1018"/>
    <d v="2024-02-04T00:00:00"/>
    <x v="1"/>
    <s v="Maria Lee"/>
    <x v="1"/>
    <n v="16"/>
    <n v="284"/>
    <s v=""/>
    <n v="4544"/>
  </r>
  <r>
    <s v="TXN1019"/>
    <d v="2024-03-01T00:00:00"/>
    <x v="1"/>
    <s v="Ali Khan"/>
    <x v="1"/>
    <n v="4"/>
    <m/>
    <s v="Check Quantity/Price"/>
    <n v="0"/>
  </r>
  <r>
    <s v="TXN1020"/>
    <d v="2024-02-12T00:00:00"/>
    <x v="2"/>
    <s v="Jane Smith"/>
    <x v="2"/>
    <n v="18"/>
    <n v="455"/>
    <s v=""/>
    <n v="8190"/>
  </r>
  <r>
    <s v="TXN1021"/>
    <d v="2024-01-28T00:00:00"/>
    <x v="2"/>
    <s v="Maria Lee"/>
    <x v="1"/>
    <n v="9"/>
    <n v="71"/>
    <s v=""/>
    <n v="639"/>
  </r>
  <r>
    <s v="TXN1022"/>
    <d v="2024-02-12T00:00:00"/>
    <x v="0"/>
    <s v="Jane Smith"/>
    <x v="2"/>
    <n v="14"/>
    <n v="208"/>
    <s v=""/>
    <n v="2912"/>
  </r>
  <r>
    <s v="TXN1023"/>
    <d v="2024-02-09T00:00:00"/>
    <x v="0"/>
    <s v="Ali Khan"/>
    <x v="1"/>
    <n v="20"/>
    <n v="467"/>
    <s v=""/>
    <n v="9340"/>
  </r>
  <r>
    <s v="TXN1024"/>
    <d v="2024-02-24T00:00:00"/>
    <x v="2"/>
    <s v="Ali Khan"/>
    <x v="2"/>
    <n v="18"/>
    <n v="179"/>
    <s v=""/>
    <n v="3222"/>
  </r>
  <r>
    <s v="TXN1025"/>
    <d v="2024-02-27T00:00:00"/>
    <x v="0"/>
    <s v="Jane Smith"/>
    <x v="0"/>
    <m/>
    <m/>
    <s v="Check Quantity/Price"/>
    <n v="0"/>
  </r>
  <r>
    <s v="TXN1026"/>
    <d v="2024-01-20T00:00:00"/>
    <x v="0"/>
    <s v="John Doe"/>
    <x v="1"/>
    <n v="9"/>
    <n v="196"/>
    <s v=""/>
    <n v="1764"/>
  </r>
  <r>
    <s v="TXN1027"/>
    <d v="2024-01-21T00:00:00"/>
    <x v="2"/>
    <s v="Ali Khan"/>
    <x v="0"/>
    <m/>
    <n v="449"/>
    <s v="Check Quantity/Price"/>
    <n v="0"/>
  </r>
  <r>
    <s v="TXN1028"/>
    <d v="2024-01-19T00:00:00"/>
    <x v="3"/>
    <s v="Maria Lee"/>
    <x v="2"/>
    <n v="10"/>
    <m/>
    <s v="Check Quantity/Price"/>
    <n v="0"/>
  </r>
  <r>
    <s v="TXN1029"/>
    <d v="2024-01-13T00:00:00"/>
    <x v="2"/>
    <s v="Ali Khan"/>
    <x v="0"/>
    <n v="12"/>
    <n v="189"/>
    <s v=""/>
    <n v="2268"/>
  </r>
  <r>
    <s v="TXN1030"/>
    <d v="2024-01-30T12:00:00"/>
    <x v="0"/>
    <s v="Ali Khan"/>
    <x v="1"/>
    <m/>
    <n v="238"/>
    <s v="Check Quantity/Price"/>
    <n v="0"/>
  </r>
  <r>
    <s v="TXN1031"/>
    <d v="2024-02-17T00:00:00"/>
    <x v="2"/>
    <s v="Ali Khan"/>
    <x v="1"/>
    <n v="19"/>
    <n v="254"/>
    <s v=""/>
    <n v="4826"/>
  </r>
  <r>
    <s v="TXN1032"/>
    <d v="2024-02-09T00:00:00"/>
    <x v="2"/>
    <s v="John Doe"/>
    <x v="2"/>
    <n v="3"/>
    <n v="247"/>
    <s v=""/>
    <n v="741"/>
  </r>
  <r>
    <s v="TXN1033"/>
    <d v="2024-01-26T00:00:00"/>
    <x v="1"/>
    <s v="Ali Khan"/>
    <x v="1"/>
    <n v="1"/>
    <n v="145"/>
    <s v=""/>
    <n v="145"/>
  </r>
  <r>
    <s v="TXN1034"/>
    <d v="2024-01-01T00:00:00"/>
    <x v="2"/>
    <s v="Ali Khan"/>
    <x v="0"/>
    <m/>
    <n v="304"/>
    <s v="Check Quantity/Price"/>
    <n v="0"/>
  </r>
  <r>
    <s v="TXN1035"/>
    <d v="2024-01-14T00:00:00"/>
    <x v="2"/>
    <s v="Ali Khan"/>
    <x v="1"/>
    <n v="13"/>
    <n v="458"/>
    <s v=""/>
    <n v="5954"/>
  </r>
  <r>
    <s v="TXN1036"/>
    <d v="2024-02-07T00:00:00"/>
    <x v="2"/>
    <s v="Ali Khan"/>
    <x v="0"/>
    <n v="11"/>
    <n v="460"/>
    <s v=""/>
    <n v="5060"/>
  </r>
  <r>
    <s v="TXN1037"/>
    <d v="2024-01-21T00:00:00"/>
    <x v="0"/>
    <s v="Maria Lee"/>
    <x v="1"/>
    <n v="10"/>
    <n v="267"/>
    <s v=""/>
    <n v="2670"/>
  </r>
  <r>
    <s v="TXN1038"/>
    <d v="2024-01-29T00:00:00"/>
    <x v="2"/>
    <s v="Jane Smith"/>
    <x v="2"/>
    <n v="19"/>
    <n v="358"/>
    <s v=""/>
    <n v="6802"/>
  </r>
  <r>
    <s v="TXN1039"/>
    <d v="2024-02-02T00:00:00"/>
    <x v="1"/>
    <s v="Maria Lee"/>
    <x v="1"/>
    <n v="2"/>
    <n v="142"/>
    <s v=""/>
    <n v="284"/>
  </r>
  <r>
    <s v="TXN1040"/>
    <d v="2024-02-27T00:00:00"/>
    <x v="1"/>
    <s v="Ali Khan"/>
    <x v="2"/>
    <n v="20"/>
    <n v="214"/>
    <s v=""/>
    <n v="4280"/>
  </r>
  <r>
    <s v="TXN1041"/>
    <d v="2024-02-17T00:00:00"/>
    <x v="1"/>
    <s v="Maria Lee"/>
    <x v="1"/>
    <m/>
    <n v="217"/>
    <s v="Check Quantity/Price"/>
    <n v="0"/>
  </r>
  <r>
    <s v="TXN1042"/>
    <d v="2024-01-06T00:00:00"/>
    <x v="3"/>
    <s v="Ali Khan"/>
    <x v="2"/>
    <m/>
    <n v="206"/>
    <s v="Check Quantity/Price"/>
    <n v="0"/>
  </r>
  <r>
    <s v="TXN1043"/>
    <d v="2024-02-12T00:00:00"/>
    <x v="2"/>
    <s v="Ali Khan"/>
    <x v="0"/>
    <n v="14"/>
    <n v="417"/>
    <s v=""/>
    <n v="5838"/>
  </r>
  <r>
    <s v="TXN1044"/>
    <d v="2024-01-22T00:00:00"/>
    <x v="1"/>
    <s v="Ali Khan"/>
    <x v="0"/>
    <n v="15"/>
    <n v="403"/>
    <s v=""/>
    <n v="6045"/>
  </r>
  <r>
    <s v="TXN1045"/>
    <d v="2024-03-01T00:00:00"/>
    <x v="0"/>
    <s v="Ali Khan"/>
    <x v="0"/>
    <n v="7"/>
    <n v="278"/>
    <s v=""/>
    <n v="1946"/>
  </r>
  <r>
    <s v="TXN1046"/>
    <d v="2024-02-13T00:00:00"/>
    <x v="2"/>
    <s v="Maria Lee"/>
    <x v="0"/>
    <n v="4"/>
    <m/>
    <s v="Check Quantity/Price"/>
    <n v="0"/>
  </r>
  <r>
    <s v="TXN1047"/>
    <d v="2024-02-21T00:00:00"/>
    <x v="2"/>
    <s v="Maria Lee"/>
    <x v="2"/>
    <n v="4"/>
    <n v="230"/>
    <s v=""/>
    <n v="920"/>
  </r>
  <r>
    <s v="TXN1048"/>
    <d v="2024-01-02T00:00:00"/>
    <x v="2"/>
    <s v="Ali Khan"/>
    <x v="2"/>
    <n v="19"/>
    <n v="272"/>
    <s v=""/>
    <n v="5168"/>
  </r>
  <r>
    <s v="TXN1049"/>
    <d v="2024-01-21T00:00:00"/>
    <x v="2"/>
    <s v="Jane Smith"/>
    <x v="0"/>
    <n v="10"/>
    <n v="455"/>
    <s v=""/>
    <n v="4550"/>
  </r>
  <r>
    <s v="TXN1050"/>
    <d v="2024-02-09T00:00:00"/>
    <x v="0"/>
    <s v="Jane Smith"/>
    <x v="0"/>
    <m/>
    <n v="88"/>
    <s v="Check Quantity/Price"/>
    <n v="0"/>
  </r>
  <r>
    <s v="TXN1051"/>
    <d v="2024-01-05T00:00:00"/>
    <x v="2"/>
    <s v="Ali Khan"/>
    <x v="0"/>
    <n v="20"/>
    <n v="257"/>
    <s v=""/>
    <n v="5140"/>
  </r>
  <r>
    <s v="TXN1052"/>
    <d v="2024-02-26T00:00:00"/>
    <x v="0"/>
    <s v="Maria Lee"/>
    <x v="1"/>
    <m/>
    <n v="460"/>
    <s v="Check Quantity/Price"/>
    <n v="0"/>
  </r>
  <r>
    <s v="TXN1053"/>
    <d v="2024-01-13T00:00:00"/>
    <x v="0"/>
    <s v="Jane Smith"/>
    <x v="0"/>
    <n v="7"/>
    <n v="131"/>
    <s v=""/>
    <n v="917"/>
  </r>
  <r>
    <s v="TXN1054"/>
    <d v="2024-01-25T00:00:00"/>
    <x v="0"/>
    <s v="Maria Lee"/>
    <x v="2"/>
    <n v="9"/>
    <n v="123"/>
    <s v=""/>
    <n v="1107"/>
  </r>
  <r>
    <s v="TXN1055"/>
    <d v="2024-01-16T00:00:00"/>
    <x v="3"/>
    <s v="John Doe"/>
    <x v="2"/>
    <n v="4"/>
    <n v="397"/>
    <s v=""/>
    <n v="1588"/>
  </r>
  <r>
    <s v="TXN1056"/>
    <d v="2024-02-14T00:00:00"/>
    <x v="0"/>
    <s v="Ali Khan"/>
    <x v="2"/>
    <m/>
    <n v="67"/>
    <s v="Check Quantity/Price"/>
    <n v="0"/>
  </r>
  <r>
    <s v="TXN1057"/>
    <d v="2024-02-16T12:00:00"/>
    <x v="2"/>
    <s v="Maria Lee"/>
    <x v="1"/>
    <n v="6"/>
    <n v="170"/>
    <s v=""/>
    <n v="1020"/>
  </r>
  <r>
    <s v="TXN1058"/>
    <d v="2024-02-19T00:00:00"/>
    <x v="0"/>
    <s v="Maria Lee"/>
    <x v="1"/>
    <n v="18"/>
    <n v="237"/>
    <s v=""/>
    <n v="4266"/>
  </r>
  <r>
    <s v="TXN1059"/>
    <d v="2024-02-19T00:00:00"/>
    <x v="0"/>
    <s v="Maria Lee"/>
    <x v="1"/>
    <n v="17"/>
    <n v="340"/>
    <s v=""/>
    <n v="5780"/>
  </r>
  <r>
    <s v="TXN1060"/>
    <d v="2024-01-12T00:00:00"/>
    <x v="0"/>
    <s v="Jane Smith"/>
    <x v="1"/>
    <n v="12"/>
    <m/>
    <s v="Check Quantity/Price"/>
    <n v="0"/>
  </r>
  <r>
    <s v="TXN1061"/>
    <d v="2024-02-14T00:00:00"/>
    <x v="2"/>
    <s v="Maria Lee"/>
    <x v="2"/>
    <m/>
    <n v="280"/>
    <s v="Check Quantity/Price"/>
    <n v="0"/>
  </r>
  <r>
    <s v="TXN1062"/>
    <d v="2024-01-04T00:00:00"/>
    <x v="2"/>
    <s v="John Doe"/>
    <x v="1"/>
    <n v="2"/>
    <n v="240"/>
    <s v=""/>
    <n v="480"/>
  </r>
  <r>
    <s v="TXN1063"/>
    <d v="2024-02-28T00:00:00"/>
    <x v="0"/>
    <s v="Jane Smith"/>
    <x v="1"/>
    <n v="15"/>
    <n v="89"/>
    <s v=""/>
    <n v="1335"/>
  </r>
  <r>
    <s v="TXN1064"/>
    <d v="2024-01-30T00:00:00"/>
    <x v="2"/>
    <s v="Ali Khan"/>
    <x v="1"/>
    <n v="11"/>
    <n v="321"/>
    <s v=""/>
    <n v="3531"/>
  </r>
  <r>
    <s v="TXN1065"/>
    <d v="2024-01-30T00:00:00"/>
    <x v="1"/>
    <s v="Ali Khan"/>
    <x v="0"/>
    <n v="19"/>
    <n v="210"/>
    <s v=""/>
    <n v="3990"/>
  </r>
  <r>
    <s v="TXN1066"/>
    <d v="2024-02-05T00:00:00"/>
    <x v="1"/>
    <s v="Ali Khan"/>
    <x v="2"/>
    <n v="14"/>
    <n v="177"/>
    <s v=""/>
    <n v="2478"/>
  </r>
  <r>
    <s v="TXN1067"/>
    <d v="2024-03-01T00:00:00"/>
    <x v="0"/>
    <s v="John Doe"/>
    <x v="1"/>
    <n v="13"/>
    <n v="63"/>
    <s v=""/>
    <n v="819"/>
  </r>
  <r>
    <s v="TXN1068"/>
    <d v="2024-01-29T00:00:00"/>
    <x v="2"/>
    <s v="Maria Lee"/>
    <x v="0"/>
    <m/>
    <n v="305"/>
    <s v="Check Quantity/Price"/>
    <n v="0"/>
  </r>
  <r>
    <s v="TXN1069"/>
    <d v="2024-02-16T00:00:00"/>
    <x v="1"/>
    <s v="John Doe"/>
    <x v="2"/>
    <n v="20"/>
    <n v="337"/>
    <s v=""/>
    <n v="6740"/>
  </r>
  <r>
    <s v="TXN1070"/>
    <d v="2024-01-28T00:00:00"/>
    <x v="3"/>
    <s v="Ali Khan"/>
    <x v="1"/>
    <m/>
    <n v="446"/>
    <s v="Check Quantity/Price"/>
    <n v="0"/>
  </r>
  <r>
    <s v="TXN1071"/>
    <d v="2024-02-05T00:00:00"/>
    <x v="2"/>
    <s v="Maria Lee"/>
    <x v="2"/>
    <m/>
    <n v="278"/>
    <s v="Check Quantity/Price"/>
    <n v="0"/>
  </r>
  <r>
    <s v="TXN1072"/>
    <d v="2024-01-11T00:00:00"/>
    <x v="0"/>
    <s v="John Doe"/>
    <x v="2"/>
    <n v="8"/>
    <n v="363"/>
    <s v=""/>
    <n v="2904"/>
  </r>
  <r>
    <s v="TXN1073"/>
    <d v="2024-01-31T00:00:00"/>
    <x v="3"/>
    <s v="Jane Smith"/>
    <x v="0"/>
    <n v="13"/>
    <n v="301"/>
    <s v=""/>
    <n v="3913"/>
  </r>
  <r>
    <s v="TXN1074"/>
    <d v="2024-02-18T00:00:00"/>
    <x v="0"/>
    <s v="Maria Lee"/>
    <x v="1"/>
    <n v="13"/>
    <n v="119"/>
    <s v=""/>
    <n v="1547"/>
  </r>
  <r>
    <s v="TXN1075"/>
    <d v="2024-02-10T00:00:00"/>
    <x v="3"/>
    <s v="Jane Smith"/>
    <x v="2"/>
    <n v="11"/>
    <n v="281"/>
    <s v=""/>
    <n v="3091"/>
  </r>
  <r>
    <s v="TXN1076"/>
    <d v="2024-02-19T00:00:00"/>
    <x v="0"/>
    <s v="John Doe"/>
    <x v="0"/>
    <n v="6"/>
    <n v="415"/>
    <s v=""/>
    <n v="2490"/>
  </r>
  <r>
    <s v="TXN1077"/>
    <d v="2024-02-10T00:00:00"/>
    <x v="1"/>
    <s v="Maria Lee"/>
    <x v="2"/>
    <m/>
    <n v="94"/>
    <s v="Check Quantity/Price"/>
    <n v="0"/>
  </r>
  <r>
    <s v="TXN1078"/>
    <d v="2024-01-29T00:00:00"/>
    <x v="2"/>
    <s v="Ali Khan"/>
    <x v="2"/>
    <n v="17"/>
    <n v="482"/>
    <s v=""/>
    <n v="8194"/>
  </r>
  <r>
    <s v="TXN1079"/>
    <d v="2024-01-19T00:00:00"/>
    <x v="0"/>
    <s v="Ali Khan"/>
    <x v="0"/>
    <n v="12"/>
    <n v="391"/>
    <s v=""/>
    <n v="4692"/>
  </r>
  <r>
    <s v="TXN1080"/>
    <d v="2024-01-22T00:00:00"/>
    <x v="0"/>
    <s v="Ali Khan"/>
    <x v="2"/>
    <n v="5"/>
    <n v="83"/>
    <s v=""/>
    <n v="415"/>
  </r>
  <r>
    <s v="TXN1081"/>
    <d v="2024-02-04T00:00:00"/>
    <x v="3"/>
    <s v="Maria Lee"/>
    <x v="0"/>
    <n v="5"/>
    <n v="198"/>
    <s v=""/>
    <n v="990"/>
  </r>
  <r>
    <s v="TXN1082"/>
    <d v="2024-01-10T00:00:00"/>
    <x v="0"/>
    <s v="John Doe"/>
    <x v="1"/>
    <n v="6"/>
    <n v="485"/>
    <s v=""/>
    <n v="2910"/>
  </r>
  <r>
    <s v="TXN1083"/>
    <d v="2024-02-14T00:00:00"/>
    <x v="2"/>
    <s v="Ali Khan"/>
    <x v="2"/>
    <n v="3"/>
    <n v="413"/>
    <s v=""/>
    <n v="1239"/>
  </r>
  <r>
    <s v="TXN1084"/>
    <d v="2024-01-14T00:00:00"/>
    <x v="0"/>
    <s v="Ali Khan"/>
    <x v="1"/>
    <n v="16"/>
    <n v="376"/>
    <s v=""/>
    <n v="6016"/>
  </r>
  <r>
    <s v="TXN1085"/>
    <d v="2024-01-27T00:00:00"/>
    <x v="0"/>
    <s v="Maria Lee"/>
    <x v="1"/>
    <n v="19"/>
    <n v="235"/>
    <s v=""/>
    <n v="4465"/>
  </r>
  <r>
    <s v="TXN1086"/>
    <d v="2024-01-30T00:00:00"/>
    <x v="1"/>
    <s v="Ali Khan"/>
    <x v="2"/>
    <n v="15"/>
    <n v="112"/>
    <s v=""/>
    <n v="1680"/>
  </r>
  <r>
    <s v="TXN1087"/>
    <d v="2024-01-14T00:00:00"/>
    <x v="2"/>
    <s v="Maria Lee"/>
    <x v="0"/>
    <n v="19"/>
    <n v="455"/>
    <s v=""/>
    <n v="8645"/>
  </r>
  <r>
    <s v="TXN1088"/>
    <d v="2024-01-25T00:00:00"/>
    <x v="2"/>
    <s v="Ali Khan"/>
    <x v="2"/>
    <n v="20"/>
    <n v="454"/>
    <s v=""/>
    <n v="9080"/>
  </r>
  <r>
    <s v="TXN1089"/>
    <d v="2024-02-07T00:00:00"/>
    <x v="0"/>
    <s v="John Doe"/>
    <x v="2"/>
    <n v="11"/>
    <n v="234"/>
    <s v=""/>
    <n v="2574"/>
  </r>
  <r>
    <s v="TXN1090"/>
    <d v="2024-01-02T00:00:00"/>
    <x v="0"/>
    <s v="Ali Khan"/>
    <x v="0"/>
    <n v="3"/>
    <n v="238"/>
    <s v=""/>
    <n v="714"/>
  </r>
  <r>
    <s v="TXN1091"/>
    <d v="2024-02-18T00:00:00"/>
    <x v="0"/>
    <s v="John Doe"/>
    <x v="0"/>
    <n v="10"/>
    <n v="332"/>
    <s v=""/>
    <n v="3320"/>
  </r>
  <r>
    <s v="TXN1092"/>
    <d v="2024-01-31T00:00:00"/>
    <x v="3"/>
    <s v="Jane Smith"/>
    <x v="2"/>
    <n v="19"/>
    <n v="94"/>
    <s v=""/>
    <n v="1786"/>
  </r>
  <r>
    <s v="TXN1093"/>
    <d v="2024-02-09T00:00:00"/>
    <x v="0"/>
    <s v="Ali Khan"/>
    <x v="0"/>
    <m/>
    <n v="253"/>
    <s v="Check Quantity/Price"/>
    <n v="0"/>
  </r>
  <r>
    <s v="TXN1094"/>
    <d v="2024-02-18T00:00:00"/>
    <x v="2"/>
    <s v="Jane Smith"/>
    <x v="1"/>
    <n v="10"/>
    <n v="418"/>
    <s v=""/>
    <n v="4180"/>
  </r>
  <r>
    <s v="TXN1095"/>
    <d v="2024-02-27T00:00:00"/>
    <x v="2"/>
    <s v="John Doe"/>
    <x v="0"/>
    <n v="2"/>
    <n v="260"/>
    <s v=""/>
    <n v="520"/>
  </r>
  <r>
    <s v="TXN1096"/>
    <d v="2024-01-27T00:00:00"/>
    <x v="0"/>
    <s v="Maria Lee"/>
    <x v="1"/>
    <m/>
    <n v="471"/>
    <s v="Check Quantity/Price"/>
    <n v="0"/>
  </r>
  <r>
    <s v="TXN1097"/>
    <d v="2024-02-17T00:00:00"/>
    <x v="3"/>
    <s v="John Doe"/>
    <x v="1"/>
    <n v="3"/>
    <n v="114"/>
    <s v=""/>
    <n v="342"/>
  </r>
  <r>
    <s v="TXN1098"/>
    <d v="2024-02-08T00:00:00"/>
    <x v="2"/>
    <s v="John Doe"/>
    <x v="1"/>
    <n v="3"/>
    <n v="378"/>
    <s v=""/>
    <n v="1134"/>
  </r>
  <r>
    <s v="TXN1099"/>
    <d v="2024-02-01T00:00:00"/>
    <x v="0"/>
    <s v="Maria Lee"/>
    <x v="0"/>
    <n v="17"/>
    <n v="288"/>
    <s v=""/>
    <n v="4896"/>
  </r>
  <r>
    <s v="TXN1100"/>
    <d v="2024-01-28T00:00:00"/>
    <x v="2"/>
    <s v="Jane Smith"/>
    <x v="0"/>
    <n v="19"/>
    <n v="226"/>
    <s v=""/>
    <n v="4294"/>
  </r>
  <r>
    <s v="TXN1101"/>
    <d v="2024-01-25T00:00:00"/>
    <x v="3"/>
    <s v="Ali Khan"/>
    <x v="2"/>
    <n v="2"/>
    <n v="474"/>
    <s v=""/>
    <n v="948"/>
  </r>
  <r>
    <s v="TXN1102"/>
    <d v="2024-02-13T00:00:00"/>
    <x v="1"/>
    <s v="John Doe"/>
    <x v="0"/>
    <n v="19"/>
    <n v="377"/>
    <s v=""/>
    <n v="7163"/>
  </r>
  <r>
    <s v="TXN1103"/>
    <d v="2024-02-16T00:00:00"/>
    <x v="2"/>
    <s v="John Doe"/>
    <x v="0"/>
    <n v="11"/>
    <n v="443"/>
    <s v=""/>
    <n v="4873"/>
  </r>
  <r>
    <s v="TXN1104"/>
    <d v="2024-01-30T00:00:00"/>
    <x v="1"/>
    <s v="Ali Khan"/>
    <x v="1"/>
    <n v="17"/>
    <n v="271"/>
    <s v=""/>
    <n v="4607"/>
  </r>
  <r>
    <s v="TXN1105"/>
    <d v="2024-02-09T00:00:00"/>
    <x v="0"/>
    <s v="John Doe"/>
    <x v="0"/>
    <n v="2"/>
    <n v="494"/>
    <s v=""/>
    <n v="988"/>
  </r>
  <r>
    <s v="TXN1106"/>
    <d v="2024-02-28T00:00:00"/>
    <x v="3"/>
    <s v="Ali Khan"/>
    <x v="0"/>
    <n v="11"/>
    <n v="113"/>
    <s v=""/>
    <n v="1243"/>
  </r>
  <r>
    <s v="TXN1107"/>
    <d v="2024-02-06T00:00:00"/>
    <x v="0"/>
    <s v="Ali Khan"/>
    <x v="1"/>
    <n v="3"/>
    <n v="205"/>
    <s v=""/>
    <n v="615"/>
  </r>
  <r>
    <s v="TXN1108"/>
    <d v="2024-01-06T00:00:00"/>
    <x v="1"/>
    <s v="Ali Khan"/>
    <x v="0"/>
    <n v="6"/>
    <n v="215"/>
    <s v=""/>
    <n v="1290"/>
  </r>
  <r>
    <s v="TXN1109"/>
    <d v="2024-01-09T00:00:00"/>
    <x v="3"/>
    <s v="Maria Lee"/>
    <x v="1"/>
    <m/>
    <n v="165"/>
    <s v="Check Quantity/Price"/>
    <n v="0"/>
  </r>
  <r>
    <s v="TXN1110"/>
    <d v="2024-01-12T00:00:00"/>
    <x v="2"/>
    <s v="Jane Smith"/>
    <x v="0"/>
    <n v="15"/>
    <n v="315"/>
    <s v=""/>
    <n v="4725"/>
  </r>
  <r>
    <s v="TXN1111"/>
    <d v="2024-01-25T00:00:00"/>
    <x v="2"/>
    <s v="Jane Smith"/>
    <x v="0"/>
    <n v="20"/>
    <n v="483"/>
    <s v=""/>
    <n v="9660"/>
  </r>
  <r>
    <s v="TXN1112"/>
    <d v="2024-01-30T00:00:00"/>
    <x v="1"/>
    <s v="Ali Khan"/>
    <x v="2"/>
    <n v="12"/>
    <n v="150"/>
    <s v=""/>
    <n v="1800"/>
  </r>
  <r>
    <s v="TXN1113"/>
    <d v="2024-02-18T00:00:00"/>
    <x v="1"/>
    <s v="Maria Lee"/>
    <x v="0"/>
    <n v="13"/>
    <n v="332"/>
    <s v=""/>
    <n v="4316"/>
  </r>
  <r>
    <s v="TXN1114"/>
    <d v="2024-01-18T00:00:00"/>
    <x v="2"/>
    <s v="Ali Khan"/>
    <x v="1"/>
    <n v="11"/>
    <n v="370"/>
    <s v=""/>
    <n v="4070"/>
  </r>
  <r>
    <s v="TXN1115"/>
    <d v="2024-02-23T00:00:00"/>
    <x v="2"/>
    <s v="Jane Smith"/>
    <x v="0"/>
    <n v="2"/>
    <n v="323"/>
    <s v=""/>
    <n v="646"/>
  </r>
  <r>
    <s v="TXN1116"/>
    <d v="2024-02-23T00:00:00"/>
    <x v="2"/>
    <s v="Jane Smith"/>
    <x v="2"/>
    <n v="11"/>
    <n v="378"/>
    <s v=""/>
    <n v="4158"/>
  </r>
  <r>
    <s v="TXN1117"/>
    <d v="2024-01-02T00:00:00"/>
    <x v="1"/>
    <s v="Jane Smith"/>
    <x v="0"/>
    <m/>
    <n v="347"/>
    <s v="Check Quantity/Price"/>
    <n v="0"/>
  </r>
  <r>
    <s v="TXN1118"/>
    <d v="2024-01-04T00:00:00"/>
    <x v="0"/>
    <s v="John Doe"/>
    <x v="0"/>
    <m/>
    <n v="387"/>
    <s v="Check Quantity/Price"/>
    <n v="0"/>
  </r>
  <r>
    <s v="TXN1119"/>
    <d v="2024-01-23T00:00:00"/>
    <x v="3"/>
    <s v="Ali Khan"/>
    <x v="1"/>
    <n v="10"/>
    <n v="359"/>
    <s v=""/>
    <n v="3590"/>
  </r>
  <r>
    <s v="TXN1120"/>
    <d v="2024-01-05T00:00:00"/>
    <x v="2"/>
    <s v="Maria Lee"/>
    <x v="2"/>
    <n v="20"/>
    <m/>
    <s v="Check Quantity/Price"/>
    <n v="0"/>
  </r>
  <r>
    <s v="TXN1121"/>
    <d v="2024-02-11T00:00:00"/>
    <x v="3"/>
    <s v="Ali Khan"/>
    <x v="0"/>
    <n v="11"/>
    <m/>
    <s v="Check Quantity/Price"/>
    <n v="0"/>
  </r>
  <r>
    <s v="TXN1122"/>
    <d v="2024-02-08T00:00:00"/>
    <x v="2"/>
    <s v="Jane Smith"/>
    <x v="0"/>
    <m/>
    <n v="91"/>
    <s v="Check Quantity/Price"/>
    <n v="0"/>
  </r>
  <r>
    <s v="TXN1123"/>
    <d v="2024-02-08T00:00:00"/>
    <x v="2"/>
    <s v="Maria Lee"/>
    <x v="1"/>
    <n v="12"/>
    <m/>
    <s v="Check Quantity/Price"/>
    <n v="0"/>
  </r>
  <r>
    <s v="TXN1124"/>
    <d v="2024-02-23T00:00:00"/>
    <x v="0"/>
    <s v="Ali Khan"/>
    <x v="0"/>
    <n v="13"/>
    <n v="345"/>
    <s v=""/>
    <n v="4485"/>
  </r>
  <r>
    <s v="TXN1125"/>
    <d v="2024-01-31T12:00:00"/>
    <x v="0"/>
    <s v="Jane Smith"/>
    <x v="0"/>
    <n v="3"/>
    <n v="157"/>
    <s v=""/>
    <n v="471"/>
  </r>
  <r>
    <s v="TXN1126"/>
    <d v="2024-01-09T00:00:00"/>
    <x v="2"/>
    <s v="Jane Smith"/>
    <x v="0"/>
    <n v="13"/>
    <n v="263"/>
    <s v=""/>
    <n v="3419"/>
  </r>
  <r>
    <s v="TXN1127"/>
    <d v="2024-01-08T00:00:00"/>
    <x v="2"/>
    <s v="Maria Lee"/>
    <x v="2"/>
    <n v="11"/>
    <n v="65"/>
    <s v=""/>
    <n v="715"/>
  </r>
  <r>
    <s v="TXN1128"/>
    <d v="2024-01-14T00:00:00"/>
    <x v="2"/>
    <s v="Ali Khan"/>
    <x v="0"/>
    <n v="17"/>
    <n v="371"/>
    <s v=""/>
    <n v="6307"/>
  </r>
  <r>
    <s v="TXN1129"/>
    <d v="2024-01-17T00:00:00"/>
    <x v="0"/>
    <s v="Maria Lee"/>
    <x v="1"/>
    <m/>
    <n v="378"/>
    <s v="Check Quantity/Price"/>
    <n v="0"/>
  </r>
  <r>
    <s v="TXN1130"/>
    <d v="2024-01-11T00:00:00"/>
    <x v="3"/>
    <s v="Ali Khan"/>
    <x v="2"/>
    <n v="17"/>
    <n v="297"/>
    <s v=""/>
    <n v="5049"/>
  </r>
  <r>
    <s v="TXN1131"/>
    <d v="2024-02-17T00:00:00"/>
    <x v="2"/>
    <s v="John Doe"/>
    <x v="0"/>
    <n v="12"/>
    <n v="463"/>
    <s v=""/>
    <n v="5556"/>
  </r>
  <r>
    <s v="TXN1132"/>
    <d v="2024-02-19T00:00:00"/>
    <x v="2"/>
    <s v="Maria Lee"/>
    <x v="0"/>
    <n v="7"/>
    <n v="202"/>
    <s v=""/>
    <n v="1414"/>
  </r>
  <r>
    <s v="TXN1133"/>
    <d v="2024-01-20T00:00:00"/>
    <x v="0"/>
    <s v="Ali Khan"/>
    <x v="2"/>
    <n v="16"/>
    <n v="402"/>
    <s v=""/>
    <n v="6432"/>
  </r>
  <r>
    <s v="TXN1134"/>
    <d v="2024-01-02T00:00:00"/>
    <x v="1"/>
    <s v="Ali Khan"/>
    <x v="0"/>
    <n v="5"/>
    <n v="275"/>
    <s v=""/>
    <n v="1375"/>
  </r>
  <r>
    <s v="TXN1135"/>
    <d v="2024-02-06T00:00:00"/>
    <x v="2"/>
    <s v="Jane Smith"/>
    <x v="0"/>
    <n v="10"/>
    <n v="287"/>
    <s v=""/>
    <n v="2870"/>
  </r>
  <r>
    <s v="TXN1136"/>
    <d v="2024-01-25T00:00:00"/>
    <x v="0"/>
    <s v="John Doe"/>
    <x v="1"/>
    <n v="4"/>
    <n v="360"/>
    <s v=""/>
    <n v="1440"/>
  </r>
  <r>
    <s v="TXN1137"/>
    <d v="2024-02-15T00:00:00"/>
    <x v="1"/>
    <s v="Maria Lee"/>
    <x v="2"/>
    <n v="18"/>
    <n v="491"/>
    <s v=""/>
    <n v="8838"/>
  </r>
  <r>
    <s v="TXN1138"/>
    <d v="2024-02-07T00:00:00"/>
    <x v="3"/>
    <s v="Ali Khan"/>
    <x v="1"/>
    <n v="17"/>
    <n v="425"/>
    <s v=""/>
    <n v="7225"/>
  </r>
  <r>
    <s v="TXN1139"/>
    <d v="2024-02-10T00:00:00"/>
    <x v="0"/>
    <s v="Ali Khan"/>
    <x v="0"/>
    <m/>
    <n v="226"/>
    <s v="Check Quantity/Price"/>
    <n v="0"/>
  </r>
  <r>
    <s v="TXN1140"/>
    <d v="2024-02-14T00:00:00"/>
    <x v="2"/>
    <s v="Ali Khan"/>
    <x v="1"/>
    <n v="20"/>
    <n v="116"/>
    <s v=""/>
    <n v="2320"/>
  </r>
  <r>
    <s v="TXN1141"/>
    <d v="2024-02-24T00:00:00"/>
    <x v="1"/>
    <s v="Maria Lee"/>
    <x v="0"/>
    <n v="13"/>
    <n v="313"/>
    <s v=""/>
    <n v="4069"/>
  </r>
  <r>
    <s v="TXN1142"/>
    <d v="2024-02-21T00:00:00"/>
    <x v="0"/>
    <s v="Ali Khan"/>
    <x v="2"/>
    <n v="6"/>
    <n v="213"/>
    <s v=""/>
    <n v="1278"/>
  </r>
  <r>
    <s v="TXN1143"/>
    <d v="2024-02-06T00:00:00"/>
    <x v="1"/>
    <s v="Maria Lee"/>
    <x v="2"/>
    <n v="20"/>
    <n v="112"/>
    <s v=""/>
    <n v="2240"/>
  </r>
  <r>
    <s v="TXN1144"/>
    <d v="2024-01-23T00:00:00"/>
    <x v="2"/>
    <s v="Ali Khan"/>
    <x v="2"/>
    <n v="6"/>
    <n v="176"/>
    <s v=""/>
    <n v="1056"/>
  </r>
  <r>
    <s v="TXN1145"/>
    <d v="2024-02-12T00:00:00"/>
    <x v="1"/>
    <s v="Jane Smith"/>
    <x v="1"/>
    <n v="2"/>
    <n v="75"/>
    <s v=""/>
    <n v="150"/>
  </r>
  <r>
    <s v="TXN1146"/>
    <d v="2024-02-02T00:00:00"/>
    <x v="3"/>
    <s v="Maria Lee"/>
    <x v="1"/>
    <n v="8"/>
    <n v="246"/>
    <s v=""/>
    <n v="1968"/>
  </r>
  <r>
    <s v="TXN1147"/>
    <d v="2024-01-01T00:00:00"/>
    <x v="1"/>
    <s v="Maria Lee"/>
    <x v="0"/>
    <n v="20"/>
    <n v="264"/>
    <s v=""/>
    <n v="5280"/>
  </r>
  <r>
    <s v="TXN1148"/>
    <d v="2024-02-22T00:00:00"/>
    <x v="3"/>
    <s v="John Doe"/>
    <x v="2"/>
    <n v="15"/>
    <n v="493"/>
    <s v=""/>
    <n v="7395"/>
  </r>
  <r>
    <s v="TXN1149"/>
    <d v="2024-01-28T00:00:00"/>
    <x v="3"/>
    <s v="Jane Smith"/>
    <x v="1"/>
    <n v="8"/>
    <n v="466"/>
    <s v=""/>
    <n v="3728"/>
  </r>
  <r>
    <s v="TXN1150"/>
    <d v="2024-02-10T00:00:00"/>
    <x v="1"/>
    <s v="Maria Lee"/>
    <x v="0"/>
    <n v="16"/>
    <n v="345"/>
    <s v=""/>
    <n v="5520"/>
  </r>
  <r>
    <s v="TXN1151"/>
    <d v="2024-01-30T00:00:00"/>
    <x v="2"/>
    <s v="Ali Khan"/>
    <x v="1"/>
    <n v="7"/>
    <n v="147"/>
    <s v=""/>
    <n v="1029"/>
  </r>
  <r>
    <s v="TXN1152"/>
    <d v="2024-01-28T00:00:00"/>
    <x v="0"/>
    <s v="Ali Khan"/>
    <x v="0"/>
    <n v="19"/>
    <n v="305"/>
    <s v=""/>
    <n v="5795"/>
  </r>
  <r>
    <s v="TXN1153"/>
    <d v="2024-02-03T00:00:00"/>
    <x v="3"/>
    <s v="Ali Khan"/>
    <x v="1"/>
    <n v="15"/>
    <n v="289"/>
    <s v=""/>
    <n v="4335"/>
  </r>
  <r>
    <s v="TXN1154"/>
    <d v="2024-01-18T00:00:00"/>
    <x v="1"/>
    <s v="Ali Khan"/>
    <x v="1"/>
    <n v="13"/>
    <n v="207"/>
    <s v=""/>
    <n v="2691"/>
  </r>
  <r>
    <s v="TXN1155"/>
    <d v="2024-02-28T00:00:00"/>
    <x v="0"/>
    <s v="Ali Khan"/>
    <x v="1"/>
    <n v="14"/>
    <n v="96"/>
    <s v=""/>
    <n v="1344"/>
  </r>
  <r>
    <s v="TXN1156"/>
    <d v="2024-01-31T00:00:00"/>
    <x v="1"/>
    <s v="John Doe"/>
    <x v="2"/>
    <n v="7"/>
    <n v="308"/>
    <s v=""/>
    <n v="2156"/>
  </r>
  <r>
    <s v="TXN1157"/>
    <d v="2024-02-22T00:00:00"/>
    <x v="3"/>
    <s v="Maria Lee"/>
    <x v="2"/>
    <n v="5"/>
    <n v="173"/>
    <s v=""/>
    <n v="865"/>
  </r>
  <r>
    <s v="TXN1158"/>
    <d v="2024-01-18T00:00:00"/>
    <x v="0"/>
    <s v="Ali Khan"/>
    <x v="1"/>
    <n v="2"/>
    <n v="230"/>
    <s v=""/>
    <n v="460"/>
  </r>
  <r>
    <s v="TXN1159"/>
    <d v="2024-01-16T00:00:00"/>
    <x v="1"/>
    <s v="John Doe"/>
    <x v="0"/>
    <n v="12"/>
    <m/>
    <s v="Check Quantity/Price"/>
    <n v="0"/>
  </r>
  <r>
    <s v="TXN1160"/>
    <d v="2024-01-06T00:00:00"/>
    <x v="2"/>
    <s v="Ali Khan"/>
    <x v="0"/>
    <n v="4"/>
    <n v="355"/>
    <s v=""/>
    <n v="1420"/>
  </r>
  <r>
    <s v="TXN1161"/>
    <d v="2024-01-29T00:00:00"/>
    <x v="2"/>
    <s v="John Doe"/>
    <x v="2"/>
    <n v="17"/>
    <n v="384"/>
    <s v=""/>
    <n v="6528"/>
  </r>
  <r>
    <s v="TXN1162"/>
    <d v="2024-01-30T00:00:00"/>
    <x v="1"/>
    <s v="Ali Khan"/>
    <x v="2"/>
    <n v="10"/>
    <n v="196"/>
    <s v=""/>
    <n v="1960"/>
  </r>
  <r>
    <s v="TXN1163"/>
    <d v="2024-02-12T00:00:00"/>
    <x v="2"/>
    <s v="Maria Lee"/>
    <x v="2"/>
    <m/>
    <n v="483"/>
    <s v="Check Quantity/Price"/>
    <n v="0"/>
  </r>
  <r>
    <s v="TXN1164"/>
    <d v="2024-01-02T00:00:00"/>
    <x v="3"/>
    <s v="Ali Khan"/>
    <x v="1"/>
    <n v="15"/>
    <n v="118"/>
    <s v=""/>
    <n v="1770"/>
  </r>
  <r>
    <s v="TXN1165"/>
    <d v="2024-01-21T00:00:00"/>
    <x v="3"/>
    <s v="Jane Smith"/>
    <x v="0"/>
    <n v="5"/>
    <n v="422"/>
    <s v=""/>
    <n v="2110"/>
  </r>
  <r>
    <s v="TXN1166"/>
    <d v="2024-01-14T00:00:00"/>
    <x v="3"/>
    <s v="Ali Khan"/>
    <x v="2"/>
    <n v="3"/>
    <n v="256"/>
    <s v=""/>
    <n v="768"/>
  </r>
  <r>
    <s v="TXN1167"/>
    <d v="2024-01-17T00:00:00"/>
    <x v="2"/>
    <s v="Ali Khan"/>
    <x v="1"/>
    <n v="8"/>
    <n v="255"/>
    <s v=""/>
    <n v="2040"/>
  </r>
  <r>
    <s v="TXN1168"/>
    <d v="2024-02-26T00:00:00"/>
    <x v="1"/>
    <s v="Jane Smith"/>
    <x v="2"/>
    <n v="12"/>
    <n v="337"/>
    <s v=""/>
    <n v="4044"/>
  </r>
  <r>
    <s v="TXN1169"/>
    <d v="2024-02-26T00:00:00"/>
    <x v="2"/>
    <s v="Jane Smith"/>
    <x v="0"/>
    <n v="14"/>
    <n v="333"/>
    <s v=""/>
    <n v="4662"/>
  </r>
  <r>
    <s v="TXN1170"/>
    <d v="2024-01-01T00:00:00"/>
    <x v="2"/>
    <s v="Ali Khan"/>
    <x v="0"/>
    <m/>
    <n v="247"/>
    <s v="Check Quantity/Price"/>
    <n v="0"/>
  </r>
  <r>
    <s v="TXN1171"/>
    <d v="2024-01-13T00:00:00"/>
    <x v="0"/>
    <s v="Ali Khan"/>
    <x v="2"/>
    <n v="8"/>
    <n v="441"/>
    <s v=""/>
    <n v="3528"/>
  </r>
  <r>
    <s v="TXN1172"/>
    <d v="2024-02-16T00:00:00"/>
    <x v="2"/>
    <s v="Jane Smith"/>
    <x v="1"/>
    <n v="3"/>
    <n v="472"/>
    <s v=""/>
    <n v="1416"/>
  </r>
  <r>
    <s v="TXN1173"/>
    <d v="2024-02-05T00:00:00"/>
    <x v="1"/>
    <s v="John Doe"/>
    <x v="0"/>
    <n v="1"/>
    <n v="398"/>
    <s v=""/>
    <n v="398"/>
  </r>
  <r>
    <s v="TXN1174"/>
    <d v="2024-02-14T00:00:00"/>
    <x v="1"/>
    <s v="John Doe"/>
    <x v="0"/>
    <n v="4"/>
    <n v="115"/>
    <s v=""/>
    <n v="460"/>
  </r>
  <r>
    <s v="TXN1175"/>
    <d v="2024-02-15T00:00:00"/>
    <x v="2"/>
    <s v="Ali Khan"/>
    <x v="0"/>
    <n v="11"/>
    <n v="251"/>
    <s v=""/>
    <n v="2761"/>
  </r>
  <r>
    <s v="TXN1176"/>
    <d v="2024-02-20T00:00:00"/>
    <x v="0"/>
    <s v="Maria Lee"/>
    <x v="2"/>
    <n v="5"/>
    <n v="223"/>
    <s v=""/>
    <n v="1115"/>
  </r>
  <r>
    <s v="TXN1177"/>
    <d v="2024-02-07T12:00:00"/>
    <x v="2"/>
    <s v="John Doe"/>
    <x v="1"/>
    <m/>
    <n v="237"/>
    <s v="Check Quantity/Price"/>
    <n v="0"/>
  </r>
  <r>
    <s v="TXN1178"/>
    <d v="2024-01-26T00:00:00"/>
    <x v="3"/>
    <s v="Ali Khan"/>
    <x v="1"/>
    <n v="16"/>
    <n v="151"/>
    <s v=""/>
    <n v="2416"/>
  </r>
  <r>
    <s v="TXN1179"/>
    <d v="2024-01-20T00:00:00"/>
    <x v="2"/>
    <s v="Ali Khan"/>
    <x v="1"/>
    <n v="5"/>
    <n v="255"/>
    <s v=""/>
    <n v="1275"/>
  </r>
  <r>
    <s v="TXN1180"/>
    <d v="2024-01-24T00:00:00"/>
    <x v="1"/>
    <s v="Jane Smith"/>
    <x v="1"/>
    <n v="16"/>
    <n v="73"/>
    <s v=""/>
    <n v="1168"/>
  </r>
  <r>
    <s v="TXN1181"/>
    <d v="2024-02-03T00:00:00"/>
    <x v="0"/>
    <s v="John Doe"/>
    <x v="1"/>
    <n v="1"/>
    <m/>
    <s v="Check Quantity/Price"/>
    <n v="0"/>
  </r>
  <r>
    <s v="TXN1182"/>
    <d v="2024-02-17T00:00:00"/>
    <x v="1"/>
    <s v="Ali Khan"/>
    <x v="2"/>
    <n v="1"/>
    <n v="461"/>
    <s v=""/>
    <n v="461"/>
  </r>
  <r>
    <s v="TXN1183"/>
    <d v="2024-01-23T00:00:00"/>
    <x v="2"/>
    <s v="Ali Khan"/>
    <x v="2"/>
    <n v="5"/>
    <n v="283"/>
    <s v=""/>
    <n v="1415"/>
  </r>
  <r>
    <s v="TXN1184"/>
    <d v="2024-01-18T00:00:00"/>
    <x v="0"/>
    <s v="Maria Lee"/>
    <x v="1"/>
    <n v="20"/>
    <n v="313"/>
    <s v=""/>
    <n v="6260"/>
  </r>
  <r>
    <s v="TXN1185"/>
    <d v="2024-01-15T00:00:00"/>
    <x v="3"/>
    <s v="Jane Smith"/>
    <x v="1"/>
    <n v="4"/>
    <n v="363"/>
    <s v=""/>
    <n v="1452"/>
  </r>
  <r>
    <s v="TXN1186"/>
    <d v="2024-01-13T00:00:00"/>
    <x v="2"/>
    <s v="Jane Smith"/>
    <x v="2"/>
    <n v="8"/>
    <n v="251"/>
    <s v=""/>
    <n v="2008"/>
  </r>
  <r>
    <s v="TXN1187"/>
    <d v="2024-02-17T00:00:00"/>
    <x v="0"/>
    <s v="Jane Smith"/>
    <x v="2"/>
    <n v="2"/>
    <n v="428"/>
    <s v=""/>
    <n v="856"/>
  </r>
  <r>
    <s v="TXN1188"/>
    <d v="2024-02-18T00:00:00"/>
    <x v="3"/>
    <s v="Ali Khan"/>
    <x v="1"/>
    <n v="20"/>
    <n v="353"/>
    <s v=""/>
    <n v="7060"/>
  </r>
  <r>
    <s v="TXN1189"/>
    <d v="2024-01-13T00:00:00"/>
    <x v="1"/>
    <s v="Ali Khan"/>
    <x v="1"/>
    <n v="4"/>
    <n v="474"/>
    <s v=""/>
    <n v="1896"/>
  </r>
  <r>
    <s v="TXN1190"/>
    <d v="2024-01-31T00:00:00"/>
    <x v="0"/>
    <s v="Ali Khan"/>
    <x v="2"/>
    <n v="16"/>
    <n v="300"/>
    <s v=""/>
    <n v="4800"/>
  </r>
  <r>
    <s v="TXN1191"/>
    <d v="2024-02-07T00:00:00"/>
    <x v="1"/>
    <s v="Ali Khan"/>
    <x v="0"/>
    <n v="1"/>
    <n v="203"/>
    <s v=""/>
    <n v="203"/>
  </r>
  <r>
    <s v="TXN1192"/>
    <d v="2024-02-03T00:00:00"/>
    <x v="2"/>
    <s v="Ali Khan"/>
    <x v="1"/>
    <n v="19"/>
    <n v="58"/>
    <s v=""/>
    <n v="1102"/>
  </r>
  <r>
    <s v="TXN1193"/>
    <d v="2024-01-07T00:00:00"/>
    <x v="2"/>
    <s v="Jane Smith"/>
    <x v="0"/>
    <n v="5"/>
    <n v="394"/>
    <s v=""/>
    <n v="1970"/>
  </r>
  <r>
    <s v="TXN1194"/>
    <d v="2024-01-19T00:00:00"/>
    <x v="0"/>
    <s v="Ali Khan"/>
    <x v="1"/>
    <n v="1"/>
    <n v="263"/>
    <s v=""/>
    <n v="263"/>
  </r>
  <r>
    <s v="TXN1195"/>
    <d v="2024-01-12T00:00:00"/>
    <x v="2"/>
    <s v="Maria Lee"/>
    <x v="1"/>
    <n v="8"/>
    <n v="457"/>
    <s v=""/>
    <n v="3656"/>
  </r>
  <r>
    <s v="TXN1196"/>
    <d v="2024-02-15T00:00:00"/>
    <x v="0"/>
    <s v="Ali Khan"/>
    <x v="1"/>
    <n v="6"/>
    <n v="496"/>
    <s v=""/>
    <n v="2976"/>
  </r>
  <r>
    <s v="TXN1197"/>
    <d v="2024-01-18T00:00:00"/>
    <x v="0"/>
    <s v="Ali Khan"/>
    <x v="1"/>
    <n v="3"/>
    <n v="63"/>
    <s v=""/>
    <n v="189"/>
  </r>
  <r>
    <s v="TXN1198"/>
    <d v="2024-01-18T12:00:00"/>
    <x v="0"/>
    <s v="John Doe"/>
    <x v="0"/>
    <n v="12"/>
    <n v="185"/>
    <s v=""/>
    <n v="2220"/>
  </r>
  <r>
    <s v="TXN1199"/>
    <d v="2024-01-19T00:00:00"/>
    <x v="3"/>
    <s v="Maria Lee"/>
    <x v="2"/>
    <m/>
    <n v="450"/>
    <s v="Check Quantity/Price"/>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503151-3B64-449D-991B-7AB2342C307B}" name="Total 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showAll="0"/>
    <pivotField numFmtId="164" showAll="0"/>
    <pivotField axis="axisRow" showAll="0">
      <items count="5">
        <item x="2"/>
        <item x="3"/>
        <item x="1"/>
        <item x="0"/>
        <item t="default"/>
      </items>
    </pivotField>
    <pivotField showAll="0"/>
    <pivotField showAll="0"/>
    <pivotField showAll="0"/>
    <pivotField showAll="0"/>
    <pivotField showAll="0"/>
    <pivotField dataField="1" numFmtId="166" showAll="0"/>
  </pivotFields>
  <rowFields count="1">
    <field x="2"/>
  </rowFields>
  <rowItems count="5">
    <i>
      <x/>
    </i>
    <i>
      <x v="1"/>
    </i>
    <i>
      <x v="2"/>
    </i>
    <i>
      <x v="3"/>
    </i>
    <i t="grand">
      <x/>
    </i>
  </rowItems>
  <colItems count="1">
    <i/>
  </colItems>
  <dataFields count="1">
    <dataField name="Sum of Total Sales" fld="8" baseField="0" baseItem="0" numFmtId="166"/>
  </dataFields>
  <formats count="1">
    <format dxfId="8">
      <pivotArea dataOnly="0" fieldPosition="0">
        <references count="1">
          <reference field="2"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778F37-0843-423F-BE14-38F8DFD05771}" name="Total Sales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9">
    <pivotField showAll="0"/>
    <pivotField numFmtId="164" showAll="0"/>
    <pivotField showAll="0"/>
    <pivotField showAll="0"/>
    <pivotField axis="axisRow" showAll="0">
      <items count="4">
        <item x="1"/>
        <item x="2"/>
        <item x="0"/>
        <item t="default"/>
      </items>
    </pivotField>
    <pivotField showAll="0"/>
    <pivotField showAll="0"/>
    <pivotField showAll="0"/>
    <pivotField dataField="1" numFmtId="166" showAll="0"/>
  </pivotFields>
  <rowFields count="1">
    <field x="4"/>
  </rowFields>
  <rowItems count="4">
    <i>
      <x/>
    </i>
    <i>
      <x v="1"/>
    </i>
    <i>
      <x v="2"/>
    </i>
    <i t="grand">
      <x/>
    </i>
  </rowItems>
  <colItems count="1">
    <i/>
  </colItems>
  <dataFields count="1">
    <dataField name="Sum of Total Sales" fld="8" baseField="0" baseItem="0" numFmtId="166"/>
  </dataFields>
  <formats count="1">
    <format dxfId="7">
      <pivotArea dataOnly="0" fieldPosition="0">
        <references count="1">
          <reference field="4" count="1">
            <x v="2"/>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862DD-16E6-4105-A2ED-D6B24DE0C618}" name="Table1" displayName="Table1" ref="A1:J201" totalsRowShown="0" headerRowDxfId="13" headerRowBorderDxfId="12">
  <autoFilter ref="A1:J201" xr:uid="{574862DD-16E6-4105-A2ED-D6B24DE0C618}"/>
  <tableColumns count="10">
    <tableColumn id="1" xr3:uid="{47DF3129-5F87-4F54-88CD-3E8F1A68C785}" name="Transaction ID"/>
    <tableColumn id="2" xr3:uid="{FE0EEFDD-5D8B-4DF5-B287-872501127EBC}" name="Date" dataDxfId="11"/>
    <tableColumn id="3" xr3:uid="{2FD77AB1-401C-4FC2-BDE8-6F6BAD338D70}" name="Region"/>
    <tableColumn id="4" xr3:uid="{A7EC373E-E82C-4FC7-9773-7007C817708D}" name="Salesperson"/>
    <tableColumn id="5" xr3:uid="{2238A8DE-88B5-4D7A-A922-E24D63E075DD}" name="Product"/>
    <tableColumn id="6" xr3:uid="{0A0771BB-574D-41BC-B0F0-BB14B49EDBA0}" name="Quantity"/>
    <tableColumn id="7" xr3:uid="{4D89C635-4CBE-44E3-B0CB-74F49A57D94F}" name="Unit Price"/>
    <tableColumn id="8" xr3:uid="{1758E7C2-5D23-48D0-8021-626F92E20872}" name="Data Issue">
      <calculatedColumnFormula>IF(OR(ISBLANK(F2), F2=0, ISBLANK(G2), G2=0), "Check Quantity/Price", "")</calculatedColumnFormula>
    </tableColumn>
    <tableColumn id="9" xr3:uid="{1B1D60A8-00B1-4AB0-8CAE-3F5D6F1762BE}" name="Total Sales" dataDxfId="10" dataCellStyle="Currency">
      <calculatedColumnFormula>IF(AND(F2&lt;&gt;0, F2&lt;&gt;"", G2&lt;&gt;0, G2&lt;&gt;""), F2 * G2, 0)</calculatedColumnFormula>
    </tableColumn>
    <tableColumn id="10" xr3:uid="{C39190B1-F8C3-463E-93F2-DD4DC607490E}" name="Discount" dataDxfId="9">
      <calculatedColumnFormula>IF(I2&gt;=2000, I2*0.15, IF(I2&gt;=1000, I2*0.1, 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67C62E-5F4F-4ADB-AE8F-93FB9731C71D}" name="Table2" displayName="Table2" ref="J1:L4" totalsRowShown="0">
  <autoFilter ref="J1:L4" xr:uid="{0467C62E-5F4F-4ADB-AE8F-93FB9731C71D}"/>
  <tableColumns count="3">
    <tableColumn id="1" xr3:uid="{ABF2092F-6429-46C1-A3EC-5E27DDB728C7}" name="Top Salesperson"/>
    <tableColumn id="2" xr3:uid="{A1D57977-2C03-4344-A4CB-C97E01820AD6}" name="Total Sales" dataDxfId="6"/>
    <tableColumn id="3" xr3:uid="{107F3010-8E1B-471E-9DC2-9CBD56280942}" name="Rank">
      <calculatedColumnFormula>RANK(K2, K:K)</calculatedColumnFormula>
    </tableColumn>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196836-FF3F-4B94-9F9F-A9187E2B7E6C}" name="Table3" displayName="Table3" ref="A1:D5" totalsRowShown="0" headerRowBorderDxfId="5">
  <autoFilter ref="A1:D5" xr:uid="{D8196836-FF3F-4B94-9F9F-A9187E2B7E6C}"/>
  <tableColumns count="4">
    <tableColumn id="1" xr3:uid="{4A8D992D-7354-4461-9FF4-007A633DBBA9}" name="Region" dataDxfId="4"/>
    <tableColumn id="2" xr3:uid="{CC89A9A2-C6E5-4AFB-8BC0-82C4789FDEB9}" name="Target Sales" dataDxfId="3"/>
    <tableColumn id="3" xr3:uid="{EEF35583-C0F1-476F-99E7-BE1CB801A1F0}" name="Actual Sales" dataDxfId="2"/>
    <tableColumn id="4" xr3:uid="{4EFA13EE-7981-43EC-BD82-79E513418FFA}" name="Performance" dataDxfId="1">
      <calculatedColumnFormula>IF(C2&gt;=B2, "Met", "Did Not Meet")</calculatedColumnFormula>
    </tableColumn>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3.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openxmlformats.org/officeDocument/2006/relationships/comments" Target="../comments3.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1"/>
  <sheetViews>
    <sheetView tabSelected="1" workbookViewId="0">
      <selection activeCell="L14" sqref="L14"/>
    </sheetView>
  </sheetViews>
  <sheetFormatPr defaultRowHeight="14.5" x14ac:dyDescent="0.35"/>
  <cols>
    <col min="1" max="1" width="14.90625" customWidth="1"/>
    <col min="2" max="2" width="18.54296875" customWidth="1"/>
    <col min="3" max="3" width="8.453125" customWidth="1"/>
    <col min="4" max="4" width="12.81640625" customWidth="1"/>
    <col min="5" max="5" width="10.54296875" bestFit="1" customWidth="1"/>
    <col min="6" max="6" width="10.1796875" customWidth="1"/>
    <col min="7" max="7" width="10.90625" customWidth="1"/>
    <col min="8" max="8" width="19.26953125" customWidth="1"/>
    <col min="9" max="9" width="16.1796875" style="6" customWidth="1"/>
    <col min="10" max="10" width="19.453125" style="14" customWidth="1"/>
  </cols>
  <sheetData>
    <row r="1" spans="1:10" x14ac:dyDescent="0.35">
      <c r="A1" s="1" t="s">
        <v>0</v>
      </c>
      <c r="B1" s="1" t="s">
        <v>1</v>
      </c>
      <c r="C1" s="1" t="s">
        <v>2</v>
      </c>
      <c r="D1" s="1" t="s">
        <v>3</v>
      </c>
      <c r="E1" s="1" t="s">
        <v>4</v>
      </c>
      <c r="F1" s="1" t="s">
        <v>5</v>
      </c>
      <c r="G1" s="1" t="s">
        <v>6</v>
      </c>
      <c r="H1" s="3" t="s">
        <v>218</v>
      </c>
      <c r="I1" s="5" t="s">
        <v>219</v>
      </c>
      <c r="J1" s="16" t="s">
        <v>227</v>
      </c>
    </row>
    <row r="2" spans="1:10" x14ac:dyDescent="0.35">
      <c r="A2" t="s">
        <v>7</v>
      </c>
      <c r="B2" s="2">
        <v>45334</v>
      </c>
      <c r="C2" t="s">
        <v>207</v>
      </c>
      <c r="D2" t="s">
        <v>214</v>
      </c>
      <c r="E2" t="s">
        <v>215</v>
      </c>
      <c r="F2">
        <v>8</v>
      </c>
      <c r="G2">
        <v>309</v>
      </c>
      <c r="H2" t="str">
        <f>IF(OR(ISBLANK(F2), F2=0, ISBLANK(G2), G2=0), "Check Quantity/Price", "")</f>
        <v/>
      </c>
      <c r="I2" s="6">
        <f>IF(AND(F2&lt;&gt;0, F2&lt;&gt;"", G2&lt;&gt;0, G2&lt;&gt;""), F2 * G2, 0)</f>
        <v>2472</v>
      </c>
      <c r="J2" s="14">
        <f t="shared" ref="J2:J33" si="0">IF(I2&gt;=2000, I2*0.15, IF(I2&gt;=1000, I2*0.1, 0))</f>
        <v>370.8</v>
      </c>
    </row>
    <row r="3" spans="1:10" x14ac:dyDescent="0.35">
      <c r="A3" t="s">
        <v>8</v>
      </c>
      <c r="B3" s="2">
        <v>45313</v>
      </c>
      <c r="C3" t="s">
        <v>207</v>
      </c>
      <c r="D3" t="s">
        <v>211</v>
      </c>
      <c r="E3" t="s">
        <v>215</v>
      </c>
      <c r="F3">
        <v>15</v>
      </c>
      <c r="G3">
        <v>309</v>
      </c>
      <c r="H3" t="str">
        <f t="shared" ref="H3:H66" si="1">IF(OR(ISBLANK(F3), F3=0, ISBLANK(G3), G3=0), "Check Quantity/Price", "")</f>
        <v/>
      </c>
      <c r="I3" s="6">
        <f t="shared" ref="I3:I66" si="2">IF(AND(F3&lt;&gt;0, F3&lt;&gt;"", G3&lt;&gt;0, G3&lt;&gt;""), F3 * G3, 0)</f>
        <v>4635</v>
      </c>
      <c r="J3" s="14">
        <f t="shared" si="0"/>
        <v>695.25</v>
      </c>
    </row>
    <row r="4" spans="1:10" x14ac:dyDescent="0.35">
      <c r="A4" t="s">
        <v>9</v>
      </c>
      <c r="B4" s="2">
        <v>45296</v>
      </c>
      <c r="C4" t="s">
        <v>207</v>
      </c>
      <c r="D4" t="s">
        <v>214</v>
      </c>
      <c r="E4" t="s">
        <v>215</v>
      </c>
      <c r="F4">
        <v>4</v>
      </c>
      <c r="G4">
        <v>249</v>
      </c>
      <c r="H4" t="str">
        <f t="shared" si="1"/>
        <v/>
      </c>
      <c r="I4" s="6">
        <f t="shared" si="2"/>
        <v>996</v>
      </c>
      <c r="J4" s="14">
        <f t="shared" si="0"/>
        <v>0</v>
      </c>
    </row>
    <row r="5" spans="1:10" x14ac:dyDescent="0.35">
      <c r="A5" t="s">
        <v>10</v>
      </c>
      <c r="B5" s="2">
        <v>45309</v>
      </c>
      <c r="C5" t="s">
        <v>208</v>
      </c>
      <c r="D5" t="s">
        <v>212</v>
      </c>
      <c r="E5" t="s">
        <v>216</v>
      </c>
      <c r="F5">
        <v>11</v>
      </c>
      <c r="G5">
        <v>72</v>
      </c>
      <c r="H5" t="str">
        <f t="shared" si="1"/>
        <v/>
      </c>
      <c r="I5" s="6">
        <f t="shared" si="2"/>
        <v>792</v>
      </c>
      <c r="J5" s="14">
        <f t="shared" si="0"/>
        <v>0</v>
      </c>
    </row>
    <row r="6" spans="1:10" x14ac:dyDescent="0.35">
      <c r="A6" t="s">
        <v>11</v>
      </c>
      <c r="B6" s="2">
        <v>45324</v>
      </c>
      <c r="C6" t="s">
        <v>209</v>
      </c>
      <c r="D6" t="s">
        <v>211</v>
      </c>
      <c r="E6" t="s">
        <v>216</v>
      </c>
      <c r="F6">
        <v>12</v>
      </c>
      <c r="G6">
        <v>241</v>
      </c>
      <c r="H6" t="str">
        <f t="shared" si="1"/>
        <v/>
      </c>
      <c r="I6" s="6">
        <f t="shared" si="2"/>
        <v>2892</v>
      </c>
      <c r="J6" s="14">
        <f t="shared" si="0"/>
        <v>433.8</v>
      </c>
    </row>
    <row r="7" spans="1:10" x14ac:dyDescent="0.35">
      <c r="A7" t="s">
        <v>12</v>
      </c>
      <c r="B7" s="2">
        <v>45345</v>
      </c>
      <c r="C7" t="s">
        <v>209</v>
      </c>
      <c r="D7" t="s">
        <v>213</v>
      </c>
      <c r="E7" t="s">
        <v>216</v>
      </c>
      <c r="F7">
        <v>16</v>
      </c>
      <c r="G7">
        <v>58</v>
      </c>
      <c r="H7" t="str">
        <f t="shared" si="1"/>
        <v/>
      </c>
      <c r="I7" s="6">
        <f t="shared" si="2"/>
        <v>928</v>
      </c>
      <c r="J7" s="14">
        <f t="shared" si="0"/>
        <v>0</v>
      </c>
    </row>
    <row r="8" spans="1:10" x14ac:dyDescent="0.35">
      <c r="A8" t="s">
        <v>13</v>
      </c>
      <c r="B8" s="2">
        <v>45352</v>
      </c>
      <c r="C8" t="s">
        <v>209</v>
      </c>
      <c r="D8" t="s">
        <v>211</v>
      </c>
      <c r="E8" t="s">
        <v>217</v>
      </c>
      <c r="G8">
        <v>84</v>
      </c>
      <c r="H8" t="str">
        <f t="shared" si="1"/>
        <v>Check Quantity/Price</v>
      </c>
      <c r="I8" s="6">
        <f t="shared" si="2"/>
        <v>0</v>
      </c>
      <c r="J8" s="14">
        <f t="shared" si="0"/>
        <v>0</v>
      </c>
    </row>
    <row r="9" spans="1:10" x14ac:dyDescent="0.35">
      <c r="A9" t="s">
        <v>14</v>
      </c>
      <c r="B9" s="2">
        <f>IF(AND(B8&lt;&gt;"", B10&lt;&gt;""), (B8 + B10) / 2, "")</f>
        <v>45330</v>
      </c>
      <c r="C9" t="s">
        <v>210</v>
      </c>
      <c r="D9" t="s">
        <v>212</v>
      </c>
      <c r="E9" t="s">
        <v>216</v>
      </c>
      <c r="F9">
        <v>3</v>
      </c>
      <c r="G9">
        <v>425</v>
      </c>
      <c r="H9" t="str">
        <f t="shared" si="1"/>
        <v/>
      </c>
      <c r="I9" s="6">
        <f t="shared" si="2"/>
        <v>1275</v>
      </c>
      <c r="J9" s="14">
        <f t="shared" si="0"/>
        <v>127.5</v>
      </c>
    </row>
    <row r="10" spans="1:10" x14ac:dyDescent="0.35">
      <c r="A10" t="s">
        <v>15</v>
      </c>
      <c r="B10" s="2">
        <v>45308</v>
      </c>
      <c r="C10" t="s">
        <v>209</v>
      </c>
      <c r="D10" t="s">
        <v>211</v>
      </c>
      <c r="E10" t="s">
        <v>217</v>
      </c>
      <c r="F10">
        <v>12</v>
      </c>
      <c r="G10">
        <v>103</v>
      </c>
      <c r="H10" t="str">
        <f t="shared" si="1"/>
        <v/>
      </c>
      <c r="I10" s="6">
        <f t="shared" si="2"/>
        <v>1236</v>
      </c>
      <c r="J10" s="14">
        <f t="shared" si="0"/>
        <v>123.60000000000001</v>
      </c>
    </row>
    <row r="11" spans="1:10" x14ac:dyDescent="0.35">
      <c r="A11" t="s">
        <v>16</v>
      </c>
      <c r="B11" s="2">
        <v>45308</v>
      </c>
      <c r="C11" t="s">
        <v>208</v>
      </c>
      <c r="D11" t="s">
        <v>213</v>
      </c>
      <c r="E11" t="s">
        <v>215</v>
      </c>
      <c r="F11">
        <v>18</v>
      </c>
      <c r="G11">
        <v>426</v>
      </c>
      <c r="H11" t="str">
        <f t="shared" si="1"/>
        <v/>
      </c>
      <c r="I11" s="6">
        <f t="shared" si="2"/>
        <v>7668</v>
      </c>
      <c r="J11" s="14">
        <f t="shared" si="0"/>
        <v>1150.2</v>
      </c>
    </row>
    <row r="12" spans="1:10" x14ac:dyDescent="0.35">
      <c r="A12" t="s">
        <v>17</v>
      </c>
      <c r="B12" s="2">
        <f>IF(AND(B11&lt;&gt;"", B13&lt;&gt;""), (B11 + B13) / 2, "")</f>
        <v>45311</v>
      </c>
      <c r="C12" t="s">
        <v>208</v>
      </c>
      <c r="D12" t="s">
        <v>212</v>
      </c>
      <c r="E12" t="s">
        <v>217</v>
      </c>
      <c r="G12">
        <v>118</v>
      </c>
      <c r="H12" t="str">
        <f t="shared" si="1"/>
        <v>Check Quantity/Price</v>
      </c>
      <c r="I12" s="6">
        <f t="shared" si="2"/>
        <v>0</v>
      </c>
      <c r="J12" s="14">
        <f t="shared" si="0"/>
        <v>0</v>
      </c>
    </row>
    <row r="13" spans="1:10" x14ac:dyDescent="0.35">
      <c r="A13" t="s">
        <v>18</v>
      </c>
      <c r="B13" s="2">
        <v>45314</v>
      </c>
      <c r="C13" t="s">
        <v>210</v>
      </c>
      <c r="D13" t="s">
        <v>214</v>
      </c>
      <c r="E13" t="s">
        <v>215</v>
      </c>
      <c r="F13">
        <v>18</v>
      </c>
      <c r="H13" t="str">
        <f t="shared" si="1"/>
        <v>Check Quantity/Price</v>
      </c>
      <c r="I13" s="6">
        <f t="shared" si="2"/>
        <v>0</v>
      </c>
      <c r="J13" s="14">
        <f t="shared" si="0"/>
        <v>0</v>
      </c>
    </row>
    <row r="14" spans="1:10" x14ac:dyDescent="0.35">
      <c r="A14" t="s">
        <v>19</v>
      </c>
      <c r="B14" s="2">
        <v>45312</v>
      </c>
      <c r="C14" t="s">
        <v>207</v>
      </c>
      <c r="D14" t="s">
        <v>214</v>
      </c>
      <c r="E14" t="s">
        <v>217</v>
      </c>
      <c r="F14">
        <v>4</v>
      </c>
      <c r="G14">
        <v>466</v>
      </c>
      <c r="H14" t="str">
        <f t="shared" si="1"/>
        <v/>
      </c>
      <c r="I14" s="6">
        <f t="shared" si="2"/>
        <v>1864</v>
      </c>
      <c r="J14" s="14">
        <f t="shared" si="0"/>
        <v>186.4</v>
      </c>
    </row>
    <row r="15" spans="1:10" x14ac:dyDescent="0.35">
      <c r="A15" t="s">
        <v>20</v>
      </c>
      <c r="B15" s="2">
        <v>45324</v>
      </c>
      <c r="C15" t="s">
        <v>209</v>
      </c>
      <c r="D15" t="s">
        <v>214</v>
      </c>
      <c r="E15" t="s">
        <v>216</v>
      </c>
      <c r="F15">
        <v>14</v>
      </c>
      <c r="G15">
        <v>475</v>
      </c>
      <c r="H15" t="str">
        <f t="shared" si="1"/>
        <v/>
      </c>
      <c r="I15" s="6">
        <f t="shared" si="2"/>
        <v>6650</v>
      </c>
      <c r="J15" s="14">
        <f t="shared" si="0"/>
        <v>997.5</v>
      </c>
    </row>
    <row r="16" spans="1:10" x14ac:dyDescent="0.35">
      <c r="A16" t="s">
        <v>21</v>
      </c>
      <c r="B16" s="2">
        <v>45349</v>
      </c>
      <c r="C16" t="s">
        <v>210</v>
      </c>
      <c r="D16" t="s">
        <v>212</v>
      </c>
      <c r="E16" t="s">
        <v>215</v>
      </c>
      <c r="F16">
        <v>2</v>
      </c>
      <c r="G16">
        <v>287</v>
      </c>
      <c r="H16" t="str">
        <f t="shared" si="1"/>
        <v/>
      </c>
      <c r="I16" s="6">
        <f t="shared" si="2"/>
        <v>574</v>
      </c>
      <c r="J16" s="14">
        <f t="shared" si="0"/>
        <v>0</v>
      </c>
    </row>
    <row r="17" spans="1:10" x14ac:dyDescent="0.35">
      <c r="A17" t="s">
        <v>22</v>
      </c>
      <c r="B17" s="2">
        <v>45308</v>
      </c>
      <c r="C17" t="s">
        <v>208</v>
      </c>
      <c r="D17" t="s">
        <v>212</v>
      </c>
      <c r="E17" t="s">
        <v>217</v>
      </c>
      <c r="F17">
        <v>20</v>
      </c>
      <c r="G17">
        <v>295</v>
      </c>
      <c r="H17" t="str">
        <f t="shared" si="1"/>
        <v/>
      </c>
      <c r="I17" s="6">
        <f t="shared" si="2"/>
        <v>5900</v>
      </c>
      <c r="J17" s="14">
        <f t="shared" si="0"/>
        <v>885</v>
      </c>
    </row>
    <row r="18" spans="1:10" x14ac:dyDescent="0.35">
      <c r="A18" t="s">
        <v>23</v>
      </c>
      <c r="B18" s="2">
        <f>IF(AND(B17&lt;&gt;"", B19&lt;&gt;""), (B17 + B19) / 2, "")</f>
        <v>45316.5</v>
      </c>
      <c r="C18" t="s">
        <v>209</v>
      </c>
      <c r="D18" t="s">
        <v>212</v>
      </c>
      <c r="E18" t="s">
        <v>217</v>
      </c>
      <c r="F18">
        <v>4</v>
      </c>
      <c r="G18">
        <v>465</v>
      </c>
      <c r="H18" t="str">
        <f t="shared" si="1"/>
        <v/>
      </c>
      <c r="I18" s="6">
        <f t="shared" si="2"/>
        <v>1860</v>
      </c>
      <c r="J18" s="14">
        <f t="shared" si="0"/>
        <v>186</v>
      </c>
    </row>
    <row r="19" spans="1:10" x14ac:dyDescent="0.35">
      <c r="A19" t="s">
        <v>24</v>
      </c>
      <c r="B19" s="2">
        <v>45325</v>
      </c>
      <c r="C19" t="s">
        <v>209</v>
      </c>
      <c r="D19" t="s">
        <v>213</v>
      </c>
      <c r="E19" t="s">
        <v>216</v>
      </c>
      <c r="F19">
        <v>7</v>
      </c>
      <c r="G19">
        <v>416</v>
      </c>
      <c r="H19" t="str">
        <f t="shared" si="1"/>
        <v/>
      </c>
      <c r="I19" s="6">
        <f t="shared" si="2"/>
        <v>2912</v>
      </c>
      <c r="J19" s="14">
        <f t="shared" si="0"/>
        <v>436.8</v>
      </c>
    </row>
    <row r="20" spans="1:10" x14ac:dyDescent="0.35">
      <c r="A20" t="s">
        <v>25</v>
      </c>
      <c r="B20" s="2">
        <v>45326</v>
      </c>
      <c r="C20" t="s">
        <v>208</v>
      </c>
      <c r="D20" t="s">
        <v>212</v>
      </c>
      <c r="E20" t="s">
        <v>216</v>
      </c>
      <c r="F20">
        <v>16</v>
      </c>
      <c r="G20">
        <v>284</v>
      </c>
      <c r="H20" t="str">
        <f t="shared" si="1"/>
        <v/>
      </c>
      <c r="I20" s="6">
        <f t="shared" si="2"/>
        <v>4544</v>
      </c>
      <c r="J20" s="14">
        <f t="shared" si="0"/>
        <v>681.6</v>
      </c>
    </row>
    <row r="21" spans="1:10" x14ac:dyDescent="0.35">
      <c r="A21" t="s">
        <v>26</v>
      </c>
      <c r="B21" s="2">
        <v>45352</v>
      </c>
      <c r="C21" t="s">
        <v>208</v>
      </c>
      <c r="D21" t="s">
        <v>214</v>
      </c>
      <c r="E21" t="s">
        <v>216</v>
      </c>
      <c r="F21">
        <v>4</v>
      </c>
      <c r="H21" t="str">
        <f t="shared" si="1"/>
        <v>Check Quantity/Price</v>
      </c>
      <c r="I21" s="6">
        <f t="shared" si="2"/>
        <v>0</v>
      </c>
      <c r="J21" s="14">
        <f t="shared" si="0"/>
        <v>0</v>
      </c>
    </row>
    <row r="22" spans="1:10" x14ac:dyDescent="0.35">
      <c r="A22" t="s">
        <v>27</v>
      </c>
      <c r="B22" s="2">
        <v>45334</v>
      </c>
      <c r="C22" t="s">
        <v>209</v>
      </c>
      <c r="D22" t="s">
        <v>213</v>
      </c>
      <c r="E22" t="s">
        <v>217</v>
      </c>
      <c r="F22">
        <v>18</v>
      </c>
      <c r="G22">
        <v>455</v>
      </c>
      <c r="H22" t="str">
        <f t="shared" si="1"/>
        <v/>
      </c>
      <c r="I22" s="6">
        <f t="shared" si="2"/>
        <v>8190</v>
      </c>
      <c r="J22" s="14">
        <f t="shared" si="0"/>
        <v>1228.5</v>
      </c>
    </row>
    <row r="23" spans="1:10" x14ac:dyDescent="0.35">
      <c r="A23" t="s">
        <v>28</v>
      </c>
      <c r="B23" s="2">
        <v>45319</v>
      </c>
      <c r="C23" t="s">
        <v>209</v>
      </c>
      <c r="D23" t="s">
        <v>212</v>
      </c>
      <c r="E23" t="s">
        <v>216</v>
      </c>
      <c r="F23">
        <v>9</v>
      </c>
      <c r="G23">
        <v>71</v>
      </c>
      <c r="H23" t="str">
        <f t="shared" si="1"/>
        <v/>
      </c>
      <c r="I23" s="6">
        <f t="shared" si="2"/>
        <v>639</v>
      </c>
      <c r="J23" s="14">
        <f t="shared" si="0"/>
        <v>0</v>
      </c>
    </row>
    <row r="24" spans="1:10" x14ac:dyDescent="0.35">
      <c r="A24" t="s">
        <v>29</v>
      </c>
      <c r="B24" s="2">
        <v>45334</v>
      </c>
      <c r="C24" t="s">
        <v>207</v>
      </c>
      <c r="D24" t="s">
        <v>213</v>
      </c>
      <c r="E24" t="s">
        <v>217</v>
      </c>
      <c r="F24">
        <v>14</v>
      </c>
      <c r="G24">
        <v>208</v>
      </c>
      <c r="H24" t="str">
        <f t="shared" si="1"/>
        <v/>
      </c>
      <c r="I24" s="6">
        <f t="shared" si="2"/>
        <v>2912</v>
      </c>
      <c r="J24" s="14">
        <f t="shared" si="0"/>
        <v>436.8</v>
      </c>
    </row>
    <row r="25" spans="1:10" x14ac:dyDescent="0.35">
      <c r="A25" t="s">
        <v>30</v>
      </c>
      <c r="B25" s="2">
        <v>45331</v>
      </c>
      <c r="C25" t="s">
        <v>207</v>
      </c>
      <c r="D25" t="s">
        <v>214</v>
      </c>
      <c r="E25" t="s">
        <v>216</v>
      </c>
      <c r="F25">
        <v>20</v>
      </c>
      <c r="G25">
        <v>467</v>
      </c>
      <c r="H25" t="str">
        <f t="shared" si="1"/>
        <v/>
      </c>
      <c r="I25" s="6">
        <f t="shared" si="2"/>
        <v>9340</v>
      </c>
      <c r="J25" s="14">
        <f t="shared" si="0"/>
        <v>1401</v>
      </c>
    </row>
    <row r="26" spans="1:10" x14ac:dyDescent="0.35">
      <c r="A26" t="s">
        <v>31</v>
      </c>
      <c r="B26" s="2">
        <v>45346</v>
      </c>
      <c r="C26" t="s">
        <v>209</v>
      </c>
      <c r="D26" t="s">
        <v>214</v>
      </c>
      <c r="E26" t="s">
        <v>217</v>
      </c>
      <c r="F26">
        <v>18</v>
      </c>
      <c r="G26">
        <v>179</v>
      </c>
      <c r="H26" t="str">
        <f t="shared" si="1"/>
        <v/>
      </c>
      <c r="I26" s="6">
        <f t="shared" si="2"/>
        <v>3222</v>
      </c>
      <c r="J26" s="14">
        <f t="shared" si="0"/>
        <v>483.29999999999995</v>
      </c>
    </row>
    <row r="27" spans="1:10" x14ac:dyDescent="0.35">
      <c r="A27" t="s">
        <v>32</v>
      </c>
      <c r="B27" s="2">
        <v>45349</v>
      </c>
      <c r="C27" t="s">
        <v>207</v>
      </c>
      <c r="D27" t="s">
        <v>213</v>
      </c>
      <c r="E27" t="s">
        <v>215</v>
      </c>
      <c r="H27" t="str">
        <f t="shared" si="1"/>
        <v>Check Quantity/Price</v>
      </c>
      <c r="I27" s="6">
        <f t="shared" si="2"/>
        <v>0</v>
      </c>
      <c r="J27" s="14">
        <f t="shared" si="0"/>
        <v>0</v>
      </c>
    </row>
    <row r="28" spans="1:10" x14ac:dyDescent="0.35">
      <c r="A28" t="s">
        <v>33</v>
      </c>
      <c r="B28" s="2">
        <v>45311</v>
      </c>
      <c r="C28" t="s">
        <v>207</v>
      </c>
      <c r="D28" t="s">
        <v>211</v>
      </c>
      <c r="E28" t="s">
        <v>216</v>
      </c>
      <c r="F28">
        <v>9</v>
      </c>
      <c r="G28">
        <v>196</v>
      </c>
      <c r="H28" t="str">
        <f t="shared" si="1"/>
        <v/>
      </c>
      <c r="I28" s="6">
        <f t="shared" si="2"/>
        <v>1764</v>
      </c>
      <c r="J28" s="14">
        <f t="shared" si="0"/>
        <v>176.4</v>
      </c>
    </row>
    <row r="29" spans="1:10" x14ac:dyDescent="0.35">
      <c r="A29" t="s">
        <v>34</v>
      </c>
      <c r="B29" s="2">
        <v>45312</v>
      </c>
      <c r="C29" t="s">
        <v>209</v>
      </c>
      <c r="D29" t="s">
        <v>214</v>
      </c>
      <c r="E29" t="s">
        <v>215</v>
      </c>
      <c r="G29">
        <v>449</v>
      </c>
      <c r="H29" t="str">
        <f t="shared" si="1"/>
        <v>Check Quantity/Price</v>
      </c>
      <c r="I29" s="6">
        <f t="shared" si="2"/>
        <v>0</v>
      </c>
      <c r="J29" s="14">
        <f t="shared" si="0"/>
        <v>0</v>
      </c>
    </row>
    <row r="30" spans="1:10" x14ac:dyDescent="0.35">
      <c r="A30" t="s">
        <v>35</v>
      </c>
      <c r="B30" s="2">
        <v>45310</v>
      </c>
      <c r="C30" t="s">
        <v>210</v>
      </c>
      <c r="D30" t="s">
        <v>212</v>
      </c>
      <c r="E30" t="s">
        <v>217</v>
      </c>
      <c r="F30">
        <v>10</v>
      </c>
      <c r="H30" t="str">
        <f t="shared" si="1"/>
        <v>Check Quantity/Price</v>
      </c>
      <c r="I30" s="6">
        <f t="shared" si="2"/>
        <v>0</v>
      </c>
      <c r="J30" s="14">
        <f t="shared" si="0"/>
        <v>0</v>
      </c>
    </row>
    <row r="31" spans="1:10" x14ac:dyDescent="0.35">
      <c r="A31" t="s">
        <v>36</v>
      </c>
      <c r="B31" s="2">
        <v>45304</v>
      </c>
      <c r="C31" t="s">
        <v>209</v>
      </c>
      <c r="D31" t="s">
        <v>214</v>
      </c>
      <c r="E31" t="s">
        <v>215</v>
      </c>
      <c r="F31">
        <v>12</v>
      </c>
      <c r="G31">
        <v>189</v>
      </c>
      <c r="H31" t="str">
        <f t="shared" si="1"/>
        <v/>
      </c>
      <c r="I31" s="6">
        <f t="shared" si="2"/>
        <v>2268</v>
      </c>
      <c r="J31" s="14">
        <f t="shared" si="0"/>
        <v>340.2</v>
      </c>
    </row>
    <row r="32" spans="1:10" x14ac:dyDescent="0.35">
      <c r="A32" t="s">
        <v>37</v>
      </c>
      <c r="B32" s="2">
        <f>IF(AND(B31&lt;&gt;"", B33&lt;&gt;""), (B31 + B33) / 2, "")</f>
        <v>45321.5</v>
      </c>
      <c r="C32" t="s">
        <v>207</v>
      </c>
      <c r="D32" t="s">
        <v>214</v>
      </c>
      <c r="E32" t="s">
        <v>216</v>
      </c>
      <c r="G32">
        <v>238</v>
      </c>
      <c r="H32" t="str">
        <f t="shared" si="1"/>
        <v>Check Quantity/Price</v>
      </c>
      <c r="I32" s="6">
        <f t="shared" si="2"/>
        <v>0</v>
      </c>
      <c r="J32" s="14">
        <f t="shared" si="0"/>
        <v>0</v>
      </c>
    </row>
    <row r="33" spans="1:10" x14ac:dyDescent="0.35">
      <c r="A33" t="s">
        <v>38</v>
      </c>
      <c r="B33" s="2">
        <v>45339</v>
      </c>
      <c r="C33" t="s">
        <v>209</v>
      </c>
      <c r="D33" t="s">
        <v>214</v>
      </c>
      <c r="E33" t="s">
        <v>216</v>
      </c>
      <c r="F33">
        <v>19</v>
      </c>
      <c r="G33">
        <v>254</v>
      </c>
      <c r="H33" t="str">
        <f t="shared" si="1"/>
        <v/>
      </c>
      <c r="I33" s="6">
        <f t="shared" si="2"/>
        <v>4826</v>
      </c>
      <c r="J33" s="14">
        <f t="shared" si="0"/>
        <v>723.9</v>
      </c>
    </row>
    <row r="34" spans="1:10" x14ac:dyDescent="0.35">
      <c r="A34" t="s">
        <v>39</v>
      </c>
      <c r="B34" s="2">
        <v>45331</v>
      </c>
      <c r="C34" t="s">
        <v>209</v>
      </c>
      <c r="D34" t="s">
        <v>211</v>
      </c>
      <c r="E34" t="s">
        <v>217</v>
      </c>
      <c r="F34">
        <v>3</v>
      </c>
      <c r="G34">
        <v>247</v>
      </c>
      <c r="H34" t="str">
        <f t="shared" si="1"/>
        <v/>
      </c>
      <c r="I34" s="6">
        <f t="shared" si="2"/>
        <v>741</v>
      </c>
      <c r="J34" s="14">
        <f t="shared" ref="J34:J65" si="3">IF(I34&gt;=2000, I34*0.15, IF(I34&gt;=1000, I34*0.1, 0))</f>
        <v>0</v>
      </c>
    </row>
    <row r="35" spans="1:10" x14ac:dyDescent="0.35">
      <c r="A35" t="s">
        <v>40</v>
      </c>
      <c r="B35" s="2">
        <v>45317</v>
      </c>
      <c r="C35" t="s">
        <v>208</v>
      </c>
      <c r="D35" t="s">
        <v>214</v>
      </c>
      <c r="E35" t="s">
        <v>216</v>
      </c>
      <c r="F35">
        <v>1</v>
      </c>
      <c r="G35">
        <v>145</v>
      </c>
      <c r="H35" t="str">
        <f t="shared" si="1"/>
        <v/>
      </c>
      <c r="I35" s="6">
        <f t="shared" si="2"/>
        <v>145</v>
      </c>
      <c r="J35" s="14">
        <f t="shared" si="3"/>
        <v>0</v>
      </c>
    </row>
    <row r="36" spans="1:10" x14ac:dyDescent="0.35">
      <c r="A36" t="s">
        <v>41</v>
      </c>
      <c r="B36" s="2">
        <v>45292</v>
      </c>
      <c r="C36" t="s">
        <v>209</v>
      </c>
      <c r="D36" t="s">
        <v>214</v>
      </c>
      <c r="E36" t="s">
        <v>215</v>
      </c>
      <c r="G36">
        <v>304</v>
      </c>
      <c r="H36" t="str">
        <f t="shared" si="1"/>
        <v>Check Quantity/Price</v>
      </c>
      <c r="I36" s="6">
        <f t="shared" si="2"/>
        <v>0</v>
      </c>
      <c r="J36" s="14">
        <f t="shared" si="3"/>
        <v>0</v>
      </c>
    </row>
    <row r="37" spans="1:10" x14ac:dyDescent="0.35">
      <c r="A37" t="s">
        <v>42</v>
      </c>
      <c r="B37" s="2">
        <v>45305</v>
      </c>
      <c r="C37" t="s">
        <v>209</v>
      </c>
      <c r="D37" t="s">
        <v>214</v>
      </c>
      <c r="E37" t="s">
        <v>216</v>
      </c>
      <c r="F37">
        <v>13</v>
      </c>
      <c r="G37">
        <v>458</v>
      </c>
      <c r="H37" t="str">
        <f t="shared" si="1"/>
        <v/>
      </c>
      <c r="I37" s="6">
        <f t="shared" si="2"/>
        <v>5954</v>
      </c>
      <c r="J37" s="14">
        <f t="shared" si="3"/>
        <v>893.1</v>
      </c>
    </row>
    <row r="38" spans="1:10" x14ac:dyDescent="0.35">
      <c r="A38" t="s">
        <v>43</v>
      </c>
      <c r="B38" s="2">
        <v>45329</v>
      </c>
      <c r="C38" t="s">
        <v>209</v>
      </c>
      <c r="D38" t="s">
        <v>214</v>
      </c>
      <c r="E38" t="s">
        <v>215</v>
      </c>
      <c r="F38">
        <v>11</v>
      </c>
      <c r="G38">
        <v>460</v>
      </c>
      <c r="H38" t="str">
        <f t="shared" si="1"/>
        <v/>
      </c>
      <c r="I38" s="6">
        <f t="shared" si="2"/>
        <v>5060</v>
      </c>
      <c r="J38" s="14">
        <f t="shared" si="3"/>
        <v>759</v>
      </c>
    </row>
    <row r="39" spans="1:10" x14ac:dyDescent="0.35">
      <c r="A39" t="s">
        <v>44</v>
      </c>
      <c r="B39" s="2">
        <v>45312</v>
      </c>
      <c r="C39" t="s">
        <v>207</v>
      </c>
      <c r="D39" t="s">
        <v>212</v>
      </c>
      <c r="E39" t="s">
        <v>216</v>
      </c>
      <c r="F39">
        <v>10</v>
      </c>
      <c r="G39">
        <v>267</v>
      </c>
      <c r="H39" t="str">
        <f t="shared" si="1"/>
        <v/>
      </c>
      <c r="I39" s="6">
        <f t="shared" si="2"/>
        <v>2670</v>
      </c>
      <c r="J39" s="14">
        <f t="shared" si="3"/>
        <v>400.5</v>
      </c>
    </row>
    <row r="40" spans="1:10" x14ac:dyDescent="0.35">
      <c r="A40" t="s">
        <v>45</v>
      </c>
      <c r="B40" s="2">
        <v>45320</v>
      </c>
      <c r="C40" t="s">
        <v>209</v>
      </c>
      <c r="D40" t="s">
        <v>213</v>
      </c>
      <c r="E40" t="s">
        <v>217</v>
      </c>
      <c r="F40">
        <v>19</v>
      </c>
      <c r="G40">
        <v>358</v>
      </c>
      <c r="H40" t="str">
        <f t="shared" si="1"/>
        <v/>
      </c>
      <c r="I40" s="6">
        <f t="shared" si="2"/>
        <v>6802</v>
      </c>
      <c r="J40" s="14">
        <f t="shared" si="3"/>
        <v>1020.3</v>
      </c>
    </row>
    <row r="41" spans="1:10" x14ac:dyDescent="0.35">
      <c r="A41" t="s">
        <v>46</v>
      </c>
      <c r="B41" s="2">
        <v>45324</v>
      </c>
      <c r="C41" t="s">
        <v>208</v>
      </c>
      <c r="D41" t="s">
        <v>212</v>
      </c>
      <c r="E41" t="s">
        <v>216</v>
      </c>
      <c r="F41">
        <v>2</v>
      </c>
      <c r="G41">
        <v>142</v>
      </c>
      <c r="H41" t="str">
        <f t="shared" si="1"/>
        <v/>
      </c>
      <c r="I41" s="6">
        <f t="shared" si="2"/>
        <v>284</v>
      </c>
      <c r="J41" s="14">
        <f t="shared" si="3"/>
        <v>0</v>
      </c>
    </row>
    <row r="42" spans="1:10" x14ac:dyDescent="0.35">
      <c r="A42" t="s">
        <v>47</v>
      </c>
      <c r="B42" s="2">
        <v>45349</v>
      </c>
      <c r="C42" t="s">
        <v>208</v>
      </c>
      <c r="D42" t="s">
        <v>214</v>
      </c>
      <c r="E42" t="s">
        <v>217</v>
      </c>
      <c r="F42">
        <v>20</v>
      </c>
      <c r="G42">
        <v>214</v>
      </c>
      <c r="H42" t="str">
        <f t="shared" si="1"/>
        <v/>
      </c>
      <c r="I42" s="6">
        <f t="shared" si="2"/>
        <v>4280</v>
      </c>
      <c r="J42" s="14">
        <f t="shared" si="3"/>
        <v>642</v>
      </c>
    </row>
    <row r="43" spans="1:10" x14ac:dyDescent="0.35">
      <c r="A43" t="s">
        <v>48</v>
      </c>
      <c r="B43" s="2">
        <v>45339</v>
      </c>
      <c r="C43" t="s">
        <v>208</v>
      </c>
      <c r="D43" t="s">
        <v>212</v>
      </c>
      <c r="E43" t="s">
        <v>216</v>
      </c>
      <c r="G43">
        <v>217</v>
      </c>
      <c r="H43" t="str">
        <f t="shared" si="1"/>
        <v>Check Quantity/Price</v>
      </c>
      <c r="I43" s="6">
        <f t="shared" si="2"/>
        <v>0</v>
      </c>
      <c r="J43" s="14">
        <f t="shared" si="3"/>
        <v>0</v>
      </c>
    </row>
    <row r="44" spans="1:10" x14ac:dyDescent="0.35">
      <c r="A44" t="s">
        <v>49</v>
      </c>
      <c r="B44" s="2">
        <v>45297</v>
      </c>
      <c r="C44" t="s">
        <v>210</v>
      </c>
      <c r="D44" t="s">
        <v>214</v>
      </c>
      <c r="E44" t="s">
        <v>217</v>
      </c>
      <c r="G44">
        <v>206</v>
      </c>
      <c r="H44" t="str">
        <f t="shared" si="1"/>
        <v>Check Quantity/Price</v>
      </c>
      <c r="I44" s="6">
        <f t="shared" si="2"/>
        <v>0</v>
      </c>
      <c r="J44" s="14">
        <f t="shared" si="3"/>
        <v>0</v>
      </c>
    </row>
    <row r="45" spans="1:10" x14ac:dyDescent="0.35">
      <c r="A45" t="s">
        <v>50</v>
      </c>
      <c r="B45" s="2">
        <v>45334</v>
      </c>
      <c r="C45" t="s">
        <v>209</v>
      </c>
      <c r="D45" t="s">
        <v>214</v>
      </c>
      <c r="E45" t="s">
        <v>215</v>
      </c>
      <c r="F45">
        <v>14</v>
      </c>
      <c r="G45">
        <v>417</v>
      </c>
      <c r="H45" t="str">
        <f t="shared" si="1"/>
        <v/>
      </c>
      <c r="I45" s="6">
        <f t="shared" si="2"/>
        <v>5838</v>
      </c>
      <c r="J45" s="14">
        <f t="shared" si="3"/>
        <v>875.69999999999993</v>
      </c>
    </row>
    <row r="46" spans="1:10" x14ac:dyDescent="0.35">
      <c r="A46" t="s">
        <v>51</v>
      </c>
      <c r="B46" s="2">
        <v>45313</v>
      </c>
      <c r="C46" t="s">
        <v>208</v>
      </c>
      <c r="D46" t="s">
        <v>214</v>
      </c>
      <c r="E46" t="s">
        <v>215</v>
      </c>
      <c r="F46">
        <v>15</v>
      </c>
      <c r="G46">
        <v>403</v>
      </c>
      <c r="H46" t="str">
        <f t="shared" si="1"/>
        <v/>
      </c>
      <c r="I46" s="6">
        <f t="shared" si="2"/>
        <v>6045</v>
      </c>
      <c r="J46" s="14">
        <f t="shared" si="3"/>
        <v>906.75</v>
      </c>
    </row>
    <row r="47" spans="1:10" x14ac:dyDescent="0.35">
      <c r="A47" t="s">
        <v>52</v>
      </c>
      <c r="B47" s="2">
        <v>45352</v>
      </c>
      <c r="C47" t="s">
        <v>207</v>
      </c>
      <c r="D47" t="s">
        <v>214</v>
      </c>
      <c r="E47" t="s">
        <v>215</v>
      </c>
      <c r="F47">
        <v>7</v>
      </c>
      <c r="G47">
        <v>278</v>
      </c>
      <c r="H47" t="str">
        <f t="shared" si="1"/>
        <v/>
      </c>
      <c r="I47" s="6">
        <f t="shared" si="2"/>
        <v>1946</v>
      </c>
      <c r="J47" s="14">
        <f t="shared" si="3"/>
        <v>194.60000000000002</v>
      </c>
    </row>
    <row r="48" spans="1:10" x14ac:dyDescent="0.35">
      <c r="A48" t="s">
        <v>53</v>
      </c>
      <c r="B48" s="2">
        <v>45335</v>
      </c>
      <c r="C48" t="s">
        <v>209</v>
      </c>
      <c r="D48" t="s">
        <v>212</v>
      </c>
      <c r="E48" t="s">
        <v>215</v>
      </c>
      <c r="F48">
        <v>4</v>
      </c>
      <c r="H48" t="str">
        <f t="shared" si="1"/>
        <v>Check Quantity/Price</v>
      </c>
      <c r="I48" s="6">
        <f t="shared" si="2"/>
        <v>0</v>
      </c>
      <c r="J48" s="14">
        <f t="shared" si="3"/>
        <v>0</v>
      </c>
    </row>
    <row r="49" spans="1:10" x14ac:dyDescent="0.35">
      <c r="A49" t="s">
        <v>54</v>
      </c>
      <c r="B49" s="2">
        <v>45343</v>
      </c>
      <c r="C49" t="s">
        <v>209</v>
      </c>
      <c r="D49" t="s">
        <v>212</v>
      </c>
      <c r="E49" t="s">
        <v>217</v>
      </c>
      <c r="F49">
        <v>4</v>
      </c>
      <c r="G49">
        <v>230</v>
      </c>
      <c r="H49" t="str">
        <f t="shared" si="1"/>
        <v/>
      </c>
      <c r="I49" s="6">
        <f t="shared" si="2"/>
        <v>920</v>
      </c>
      <c r="J49" s="14">
        <f t="shared" si="3"/>
        <v>0</v>
      </c>
    </row>
    <row r="50" spans="1:10" x14ac:dyDescent="0.35">
      <c r="A50" t="s">
        <v>55</v>
      </c>
      <c r="B50" s="2">
        <v>45293</v>
      </c>
      <c r="C50" t="s">
        <v>209</v>
      </c>
      <c r="D50" t="s">
        <v>214</v>
      </c>
      <c r="E50" t="s">
        <v>217</v>
      </c>
      <c r="F50">
        <v>19</v>
      </c>
      <c r="G50">
        <v>272</v>
      </c>
      <c r="H50" t="str">
        <f t="shared" si="1"/>
        <v/>
      </c>
      <c r="I50" s="6">
        <f t="shared" si="2"/>
        <v>5168</v>
      </c>
      <c r="J50" s="14">
        <f t="shared" si="3"/>
        <v>775.19999999999993</v>
      </c>
    </row>
    <row r="51" spans="1:10" x14ac:dyDescent="0.35">
      <c r="A51" t="s">
        <v>56</v>
      </c>
      <c r="B51" s="2">
        <f>IF(AND(B50&lt;&gt;"", B52&lt;&gt;""), (B50 + B52) / 2, "")</f>
        <v>45312</v>
      </c>
      <c r="C51" t="s">
        <v>209</v>
      </c>
      <c r="D51" t="s">
        <v>213</v>
      </c>
      <c r="E51" t="s">
        <v>215</v>
      </c>
      <c r="F51">
        <v>10</v>
      </c>
      <c r="G51">
        <v>455</v>
      </c>
      <c r="H51" t="str">
        <f t="shared" si="1"/>
        <v/>
      </c>
      <c r="I51" s="6">
        <f t="shared" si="2"/>
        <v>4550</v>
      </c>
      <c r="J51" s="14">
        <f t="shared" si="3"/>
        <v>682.5</v>
      </c>
    </row>
    <row r="52" spans="1:10" x14ac:dyDescent="0.35">
      <c r="A52" t="s">
        <v>57</v>
      </c>
      <c r="B52" s="2">
        <v>45331</v>
      </c>
      <c r="C52" t="s">
        <v>207</v>
      </c>
      <c r="D52" t="s">
        <v>213</v>
      </c>
      <c r="E52" t="s">
        <v>215</v>
      </c>
      <c r="G52">
        <v>88</v>
      </c>
      <c r="H52" t="str">
        <f t="shared" si="1"/>
        <v>Check Quantity/Price</v>
      </c>
      <c r="I52" s="6">
        <f t="shared" si="2"/>
        <v>0</v>
      </c>
      <c r="J52" s="14">
        <f t="shared" si="3"/>
        <v>0</v>
      </c>
    </row>
    <row r="53" spans="1:10" x14ac:dyDescent="0.35">
      <c r="A53" t="s">
        <v>58</v>
      </c>
      <c r="B53" s="2">
        <v>45296</v>
      </c>
      <c r="C53" t="s">
        <v>209</v>
      </c>
      <c r="D53" t="s">
        <v>214</v>
      </c>
      <c r="E53" t="s">
        <v>215</v>
      </c>
      <c r="F53">
        <v>20</v>
      </c>
      <c r="G53">
        <v>257</v>
      </c>
      <c r="H53" t="str">
        <f t="shared" si="1"/>
        <v/>
      </c>
      <c r="I53" s="6">
        <f t="shared" si="2"/>
        <v>5140</v>
      </c>
      <c r="J53" s="14">
        <f t="shared" si="3"/>
        <v>771</v>
      </c>
    </row>
    <row r="54" spans="1:10" x14ac:dyDescent="0.35">
      <c r="A54" t="s">
        <v>59</v>
      </c>
      <c r="B54" s="2">
        <v>45348</v>
      </c>
      <c r="C54" t="s">
        <v>207</v>
      </c>
      <c r="D54" t="s">
        <v>212</v>
      </c>
      <c r="E54" t="s">
        <v>216</v>
      </c>
      <c r="G54">
        <v>460</v>
      </c>
      <c r="H54" t="str">
        <f t="shared" si="1"/>
        <v>Check Quantity/Price</v>
      </c>
      <c r="I54" s="6">
        <f t="shared" si="2"/>
        <v>0</v>
      </c>
      <c r="J54" s="14">
        <f t="shared" si="3"/>
        <v>0</v>
      </c>
    </row>
    <row r="55" spans="1:10" x14ac:dyDescent="0.35">
      <c r="A55" t="s">
        <v>60</v>
      </c>
      <c r="B55" s="2">
        <v>45304</v>
      </c>
      <c r="C55" t="s">
        <v>207</v>
      </c>
      <c r="D55" t="s">
        <v>213</v>
      </c>
      <c r="E55" t="s">
        <v>215</v>
      </c>
      <c r="F55">
        <v>7</v>
      </c>
      <c r="G55">
        <v>131</v>
      </c>
      <c r="H55" t="str">
        <f t="shared" si="1"/>
        <v/>
      </c>
      <c r="I55" s="6">
        <f t="shared" si="2"/>
        <v>917</v>
      </c>
      <c r="J55" s="14">
        <f t="shared" si="3"/>
        <v>0</v>
      </c>
    </row>
    <row r="56" spans="1:10" x14ac:dyDescent="0.35">
      <c r="A56" t="s">
        <v>61</v>
      </c>
      <c r="B56" s="2">
        <v>45316</v>
      </c>
      <c r="C56" t="s">
        <v>207</v>
      </c>
      <c r="D56" t="s">
        <v>212</v>
      </c>
      <c r="E56" t="s">
        <v>217</v>
      </c>
      <c r="F56">
        <v>9</v>
      </c>
      <c r="G56">
        <v>123</v>
      </c>
      <c r="H56" t="str">
        <f t="shared" si="1"/>
        <v/>
      </c>
      <c r="I56" s="6">
        <f t="shared" si="2"/>
        <v>1107</v>
      </c>
      <c r="J56" s="14">
        <f t="shared" si="3"/>
        <v>110.7</v>
      </c>
    </row>
    <row r="57" spans="1:10" x14ac:dyDescent="0.35">
      <c r="A57" t="s">
        <v>62</v>
      </c>
      <c r="B57" s="2">
        <v>45307</v>
      </c>
      <c r="C57" t="s">
        <v>210</v>
      </c>
      <c r="D57" t="s">
        <v>211</v>
      </c>
      <c r="E57" t="s">
        <v>217</v>
      </c>
      <c r="F57">
        <v>4</v>
      </c>
      <c r="G57">
        <v>397</v>
      </c>
      <c r="H57" t="str">
        <f t="shared" si="1"/>
        <v/>
      </c>
      <c r="I57" s="6">
        <f t="shared" si="2"/>
        <v>1588</v>
      </c>
      <c r="J57" s="14">
        <f t="shared" si="3"/>
        <v>158.80000000000001</v>
      </c>
    </row>
    <row r="58" spans="1:10" x14ac:dyDescent="0.35">
      <c r="A58" t="s">
        <v>63</v>
      </c>
      <c r="B58" s="2">
        <v>45336</v>
      </c>
      <c r="C58" t="s">
        <v>207</v>
      </c>
      <c r="D58" t="s">
        <v>214</v>
      </c>
      <c r="E58" t="s">
        <v>217</v>
      </c>
      <c r="G58">
        <v>67</v>
      </c>
      <c r="H58" t="str">
        <f t="shared" si="1"/>
        <v>Check Quantity/Price</v>
      </c>
      <c r="I58" s="6">
        <f t="shared" si="2"/>
        <v>0</v>
      </c>
      <c r="J58" s="14">
        <f t="shared" si="3"/>
        <v>0</v>
      </c>
    </row>
    <row r="59" spans="1:10" x14ac:dyDescent="0.35">
      <c r="A59" t="s">
        <v>64</v>
      </c>
      <c r="B59" s="2">
        <f>IF(AND(B58&lt;&gt;"", B60&lt;&gt;""), (B58 + B60) / 2, "")</f>
        <v>45338.5</v>
      </c>
      <c r="C59" t="s">
        <v>209</v>
      </c>
      <c r="D59" t="s">
        <v>212</v>
      </c>
      <c r="E59" t="s">
        <v>216</v>
      </c>
      <c r="F59">
        <v>6</v>
      </c>
      <c r="G59">
        <v>170</v>
      </c>
      <c r="H59" t="str">
        <f t="shared" si="1"/>
        <v/>
      </c>
      <c r="I59" s="6">
        <f t="shared" si="2"/>
        <v>1020</v>
      </c>
      <c r="J59" s="14">
        <f t="shared" si="3"/>
        <v>102</v>
      </c>
    </row>
    <row r="60" spans="1:10" x14ac:dyDescent="0.35">
      <c r="A60" t="s">
        <v>65</v>
      </c>
      <c r="B60" s="2">
        <v>45341</v>
      </c>
      <c r="C60" t="s">
        <v>207</v>
      </c>
      <c r="D60" t="s">
        <v>212</v>
      </c>
      <c r="E60" t="s">
        <v>216</v>
      </c>
      <c r="F60">
        <v>18</v>
      </c>
      <c r="G60">
        <v>237</v>
      </c>
      <c r="H60" t="str">
        <f t="shared" si="1"/>
        <v/>
      </c>
      <c r="I60" s="6">
        <f t="shared" si="2"/>
        <v>4266</v>
      </c>
      <c r="J60" s="14">
        <f t="shared" si="3"/>
        <v>639.9</v>
      </c>
    </row>
    <row r="61" spans="1:10" x14ac:dyDescent="0.35">
      <c r="A61" t="s">
        <v>66</v>
      </c>
      <c r="B61" s="2">
        <v>45341</v>
      </c>
      <c r="C61" t="s">
        <v>207</v>
      </c>
      <c r="D61" t="s">
        <v>212</v>
      </c>
      <c r="E61" t="s">
        <v>216</v>
      </c>
      <c r="F61">
        <v>17</v>
      </c>
      <c r="G61">
        <v>340</v>
      </c>
      <c r="H61" t="str">
        <f t="shared" si="1"/>
        <v/>
      </c>
      <c r="I61" s="6">
        <f t="shared" si="2"/>
        <v>5780</v>
      </c>
      <c r="J61" s="14">
        <f t="shared" si="3"/>
        <v>867</v>
      </c>
    </row>
    <row r="62" spans="1:10" x14ac:dyDescent="0.35">
      <c r="A62" t="s">
        <v>67</v>
      </c>
      <c r="B62" s="2">
        <v>45303</v>
      </c>
      <c r="C62" t="s">
        <v>207</v>
      </c>
      <c r="D62" t="s">
        <v>213</v>
      </c>
      <c r="E62" t="s">
        <v>216</v>
      </c>
      <c r="F62">
        <v>12</v>
      </c>
      <c r="H62" t="str">
        <f t="shared" si="1"/>
        <v>Check Quantity/Price</v>
      </c>
      <c r="I62" s="6">
        <f t="shared" si="2"/>
        <v>0</v>
      </c>
      <c r="J62" s="14">
        <f t="shared" si="3"/>
        <v>0</v>
      </c>
    </row>
    <row r="63" spans="1:10" x14ac:dyDescent="0.35">
      <c r="A63" t="s">
        <v>68</v>
      </c>
      <c r="B63" s="2">
        <v>45336</v>
      </c>
      <c r="C63" t="s">
        <v>209</v>
      </c>
      <c r="D63" t="s">
        <v>212</v>
      </c>
      <c r="E63" t="s">
        <v>217</v>
      </c>
      <c r="G63">
        <v>280</v>
      </c>
      <c r="H63" t="str">
        <f t="shared" si="1"/>
        <v>Check Quantity/Price</v>
      </c>
      <c r="I63" s="6">
        <f t="shared" si="2"/>
        <v>0</v>
      </c>
      <c r="J63" s="14">
        <f t="shared" si="3"/>
        <v>0</v>
      </c>
    </row>
    <row r="64" spans="1:10" x14ac:dyDescent="0.35">
      <c r="A64" t="s">
        <v>69</v>
      </c>
      <c r="B64" s="2">
        <v>45295</v>
      </c>
      <c r="C64" t="s">
        <v>209</v>
      </c>
      <c r="D64" t="s">
        <v>211</v>
      </c>
      <c r="E64" t="s">
        <v>216</v>
      </c>
      <c r="F64">
        <v>2</v>
      </c>
      <c r="G64">
        <v>240</v>
      </c>
      <c r="H64" t="str">
        <f t="shared" si="1"/>
        <v/>
      </c>
      <c r="I64" s="6">
        <f t="shared" si="2"/>
        <v>480</v>
      </c>
      <c r="J64" s="14">
        <f t="shared" si="3"/>
        <v>0</v>
      </c>
    </row>
    <row r="65" spans="1:10" x14ac:dyDescent="0.35">
      <c r="A65" t="s">
        <v>70</v>
      </c>
      <c r="B65" s="2">
        <v>45350</v>
      </c>
      <c r="C65" t="s">
        <v>207</v>
      </c>
      <c r="D65" t="s">
        <v>213</v>
      </c>
      <c r="E65" t="s">
        <v>216</v>
      </c>
      <c r="F65">
        <v>15</v>
      </c>
      <c r="G65">
        <v>89</v>
      </c>
      <c r="H65" t="str">
        <f t="shared" si="1"/>
        <v/>
      </c>
      <c r="I65" s="6">
        <f t="shared" si="2"/>
        <v>1335</v>
      </c>
      <c r="J65" s="14">
        <f t="shared" si="3"/>
        <v>133.5</v>
      </c>
    </row>
    <row r="66" spans="1:10" x14ac:dyDescent="0.35">
      <c r="A66" t="s">
        <v>71</v>
      </c>
      <c r="B66" s="2">
        <v>45321</v>
      </c>
      <c r="C66" t="s">
        <v>209</v>
      </c>
      <c r="D66" t="s">
        <v>214</v>
      </c>
      <c r="E66" t="s">
        <v>216</v>
      </c>
      <c r="F66">
        <v>11</v>
      </c>
      <c r="G66">
        <v>321</v>
      </c>
      <c r="H66" t="str">
        <f t="shared" si="1"/>
        <v/>
      </c>
      <c r="I66" s="6">
        <f t="shared" si="2"/>
        <v>3531</v>
      </c>
      <c r="J66" s="14">
        <f t="shared" ref="J66:J97" si="4">IF(I66&gt;=2000, I66*0.15, IF(I66&gt;=1000, I66*0.1, 0))</f>
        <v>529.65</v>
      </c>
    </row>
    <row r="67" spans="1:10" x14ac:dyDescent="0.35">
      <c r="A67" t="s">
        <v>72</v>
      </c>
      <c r="B67" s="2">
        <v>45321</v>
      </c>
      <c r="C67" t="s">
        <v>208</v>
      </c>
      <c r="D67" t="s">
        <v>214</v>
      </c>
      <c r="E67" t="s">
        <v>215</v>
      </c>
      <c r="F67">
        <v>19</v>
      </c>
      <c r="G67">
        <v>210</v>
      </c>
      <c r="H67" t="str">
        <f t="shared" ref="H67:H130" si="5">IF(OR(ISBLANK(F67), F67=0, ISBLANK(G67), G67=0), "Check Quantity/Price", "")</f>
        <v/>
      </c>
      <c r="I67" s="6">
        <f t="shared" ref="I67:I130" si="6">IF(AND(F67&lt;&gt;0, F67&lt;&gt;"", G67&lt;&gt;0, G67&lt;&gt;""), F67 * G67, 0)</f>
        <v>3990</v>
      </c>
      <c r="J67" s="14">
        <f t="shared" si="4"/>
        <v>598.5</v>
      </c>
    </row>
    <row r="68" spans="1:10" x14ac:dyDescent="0.35">
      <c r="A68" t="s">
        <v>73</v>
      </c>
      <c r="B68" s="2">
        <v>45327</v>
      </c>
      <c r="C68" t="s">
        <v>208</v>
      </c>
      <c r="D68" t="s">
        <v>214</v>
      </c>
      <c r="E68" t="s">
        <v>217</v>
      </c>
      <c r="F68">
        <v>14</v>
      </c>
      <c r="G68">
        <v>177</v>
      </c>
      <c r="H68" t="str">
        <f t="shared" si="5"/>
        <v/>
      </c>
      <c r="I68" s="6">
        <f t="shared" si="6"/>
        <v>2478</v>
      </c>
      <c r="J68" s="14">
        <f t="shared" si="4"/>
        <v>371.7</v>
      </c>
    </row>
    <row r="69" spans="1:10" x14ac:dyDescent="0.35">
      <c r="A69" t="s">
        <v>74</v>
      </c>
      <c r="B69" s="2">
        <v>45352</v>
      </c>
      <c r="C69" t="s">
        <v>207</v>
      </c>
      <c r="D69" t="s">
        <v>211</v>
      </c>
      <c r="E69" t="s">
        <v>216</v>
      </c>
      <c r="F69">
        <v>13</v>
      </c>
      <c r="G69">
        <v>63</v>
      </c>
      <c r="H69" t="str">
        <f t="shared" si="5"/>
        <v/>
      </c>
      <c r="I69" s="6">
        <f t="shared" si="6"/>
        <v>819</v>
      </c>
      <c r="J69" s="14">
        <f t="shared" si="4"/>
        <v>0</v>
      </c>
    </row>
    <row r="70" spans="1:10" x14ac:dyDescent="0.35">
      <c r="A70" t="s">
        <v>75</v>
      </c>
      <c r="B70" s="2">
        <v>45320</v>
      </c>
      <c r="C70" t="s">
        <v>209</v>
      </c>
      <c r="D70" t="s">
        <v>212</v>
      </c>
      <c r="E70" t="s">
        <v>215</v>
      </c>
      <c r="G70">
        <v>305</v>
      </c>
      <c r="H70" t="str">
        <f t="shared" si="5"/>
        <v>Check Quantity/Price</v>
      </c>
      <c r="I70" s="6">
        <f t="shared" si="6"/>
        <v>0</v>
      </c>
      <c r="J70" s="14">
        <f t="shared" si="4"/>
        <v>0</v>
      </c>
    </row>
    <row r="71" spans="1:10" x14ac:dyDescent="0.35">
      <c r="A71" t="s">
        <v>76</v>
      </c>
      <c r="B71" s="2">
        <v>45338</v>
      </c>
      <c r="C71" t="s">
        <v>208</v>
      </c>
      <c r="D71" t="s">
        <v>211</v>
      </c>
      <c r="E71" t="s">
        <v>217</v>
      </c>
      <c r="F71">
        <v>20</v>
      </c>
      <c r="G71">
        <v>337</v>
      </c>
      <c r="H71" t="str">
        <f t="shared" si="5"/>
        <v/>
      </c>
      <c r="I71" s="6">
        <f t="shared" si="6"/>
        <v>6740</v>
      </c>
      <c r="J71" s="14">
        <f t="shared" si="4"/>
        <v>1011</v>
      </c>
    </row>
    <row r="72" spans="1:10" x14ac:dyDescent="0.35">
      <c r="A72" t="s">
        <v>77</v>
      </c>
      <c r="B72" s="2">
        <v>45319</v>
      </c>
      <c r="C72" t="s">
        <v>210</v>
      </c>
      <c r="D72" t="s">
        <v>214</v>
      </c>
      <c r="E72" t="s">
        <v>216</v>
      </c>
      <c r="G72">
        <v>446</v>
      </c>
      <c r="H72" t="str">
        <f t="shared" si="5"/>
        <v>Check Quantity/Price</v>
      </c>
      <c r="I72" s="6">
        <f t="shared" si="6"/>
        <v>0</v>
      </c>
      <c r="J72" s="14">
        <f t="shared" si="4"/>
        <v>0</v>
      </c>
    </row>
    <row r="73" spans="1:10" x14ac:dyDescent="0.35">
      <c r="A73" t="s">
        <v>78</v>
      </c>
      <c r="B73" s="2">
        <v>45327</v>
      </c>
      <c r="C73" t="s">
        <v>209</v>
      </c>
      <c r="D73" t="s">
        <v>212</v>
      </c>
      <c r="E73" t="s">
        <v>217</v>
      </c>
      <c r="G73">
        <v>278</v>
      </c>
      <c r="H73" t="str">
        <f t="shared" si="5"/>
        <v>Check Quantity/Price</v>
      </c>
      <c r="I73" s="6">
        <f t="shared" si="6"/>
        <v>0</v>
      </c>
      <c r="J73" s="14">
        <f t="shared" si="4"/>
        <v>0</v>
      </c>
    </row>
    <row r="74" spans="1:10" x14ac:dyDescent="0.35">
      <c r="A74" t="s">
        <v>79</v>
      </c>
      <c r="B74" s="2">
        <v>45302</v>
      </c>
      <c r="C74" t="s">
        <v>207</v>
      </c>
      <c r="D74" t="s">
        <v>211</v>
      </c>
      <c r="E74" t="s">
        <v>217</v>
      </c>
      <c r="F74">
        <v>8</v>
      </c>
      <c r="G74">
        <v>363</v>
      </c>
      <c r="H74" t="str">
        <f t="shared" si="5"/>
        <v/>
      </c>
      <c r="I74" s="6">
        <f t="shared" si="6"/>
        <v>2904</v>
      </c>
      <c r="J74" s="14">
        <f t="shared" si="4"/>
        <v>435.59999999999997</v>
      </c>
    </row>
    <row r="75" spans="1:10" x14ac:dyDescent="0.35">
      <c r="A75" t="s">
        <v>80</v>
      </c>
      <c r="B75" s="2">
        <v>45322</v>
      </c>
      <c r="C75" t="s">
        <v>210</v>
      </c>
      <c r="D75" t="s">
        <v>213</v>
      </c>
      <c r="E75" t="s">
        <v>215</v>
      </c>
      <c r="F75">
        <v>13</v>
      </c>
      <c r="G75">
        <v>301</v>
      </c>
      <c r="H75" t="str">
        <f t="shared" si="5"/>
        <v/>
      </c>
      <c r="I75" s="6">
        <f t="shared" si="6"/>
        <v>3913</v>
      </c>
      <c r="J75" s="14">
        <f t="shared" si="4"/>
        <v>586.94999999999993</v>
      </c>
    </row>
    <row r="76" spans="1:10" x14ac:dyDescent="0.35">
      <c r="A76" t="s">
        <v>81</v>
      </c>
      <c r="B76" s="2">
        <v>45340</v>
      </c>
      <c r="C76" t="s">
        <v>207</v>
      </c>
      <c r="D76" t="s">
        <v>212</v>
      </c>
      <c r="E76" t="s">
        <v>216</v>
      </c>
      <c r="F76">
        <v>13</v>
      </c>
      <c r="G76">
        <v>119</v>
      </c>
      <c r="H76" t="str">
        <f t="shared" si="5"/>
        <v/>
      </c>
      <c r="I76" s="6">
        <f t="shared" si="6"/>
        <v>1547</v>
      </c>
      <c r="J76" s="14">
        <f t="shared" si="4"/>
        <v>154.70000000000002</v>
      </c>
    </row>
    <row r="77" spans="1:10" x14ac:dyDescent="0.35">
      <c r="A77" t="s">
        <v>82</v>
      </c>
      <c r="B77" s="2">
        <v>45332</v>
      </c>
      <c r="C77" t="s">
        <v>210</v>
      </c>
      <c r="D77" t="s">
        <v>213</v>
      </c>
      <c r="E77" t="s">
        <v>217</v>
      </c>
      <c r="F77">
        <v>11</v>
      </c>
      <c r="G77">
        <v>281</v>
      </c>
      <c r="H77" t="str">
        <f t="shared" si="5"/>
        <v/>
      </c>
      <c r="I77" s="6">
        <f t="shared" si="6"/>
        <v>3091</v>
      </c>
      <c r="J77" s="14">
        <f t="shared" si="4"/>
        <v>463.65</v>
      </c>
    </row>
    <row r="78" spans="1:10" x14ac:dyDescent="0.35">
      <c r="A78" t="s">
        <v>83</v>
      </c>
      <c r="B78" s="2">
        <v>45341</v>
      </c>
      <c r="C78" t="s">
        <v>207</v>
      </c>
      <c r="D78" t="s">
        <v>211</v>
      </c>
      <c r="E78" t="s">
        <v>215</v>
      </c>
      <c r="F78">
        <v>6</v>
      </c>
      <c r="G78">
        <v>415</v>
      </c>
      <c r="H78" t="str">
        <f t="shared" si="5"/>
        <v/>
      </c>
      <c r="I78" s="6">
        <f t="shared" si="6"/>
        <v>2490</v>
      </c>
      <c r="J78" s="14">
        <f t="shared" si="4"/>
        <v>373.5</v>
      </c>
    </row>
    <row r="79" spans="1:10" x14ac:dyDescent="0.35">
      <c r="A79" t="s">
        <v>84</v>
      </c>
      <c r="B79" s="2">
        <v>45332</v>
      </c>
      <c r="C79" t="s">
        <v>208</v>
      </c>
      <c r="D79" t="s">
        <v>212</v>
      </c>
      <c r="E79" t="s">
        <v>217</v>
      </c>
      <c r="G79">
        <v>94</v>
      </c>
      <c r="H79" t="str">
        <f t="shared" si="5"/>
        <v>Check Quantity/Price</v>
      </c>
      <c r="I79" s="6">
        <f t="shared" si="6"/>
        <v>0</v>
      </c>
      <c r="J79" s="14">
        <f t="shared" si="4"/>
        <v>0</v>
      </c>
    </row>
    <row r="80" spans="1:10" x14ac:dyDescent="0.35">
      <c r="A80" t="s">
        <v>85</v>
      </c>
      <c r="B80" s="2">
        <v>45320</v>
      </c>
      <c r="C80" t="s">
        <v>209</v>
      </c>
      <c r="D80" t="s">
        <v>214</v>
      </c>
      <c r="E80" t="s">
        <v>217</v>
      </c>
      <c r="F80">
        <v>17</v>
      </c>
      <c r="G80">
        <v>482</v>
      </c>
      <c r="H80" t="str">
        <f t="shared" si="5"/>
        <v/>
      </c>
      <c r="I80" s="6">
        <f t="shared" si="6"/>
        <v>8194</v>
      </c>
      <c r="J80" s="14">
        <f t="shared" si="4"/>
        <v>1229.0999999999999</v>
      </c>
    </row>
    <row r="81" spans="1:10" x14ac:dyDescent="0.35">
      <c r="A81" t="s">
        <v>86</v>
      </c>
      <c r="B81" s="2">
        <v>45310</v>
      </c>
      <c r="C81" t="s">
        <v>207</v>
      </c>
      <c r="D81" t="s">
        <v>214</v>
      </c>
      <c r="E81" t="s">
        <v>215</v>
      </c>
      <c r="F81">
        <v>12</v>
      </c>
      <c r="G81">
        <v>391</v>
      </c>
      <c r="H81" t="str">
        <f t="shared" si="5"/>
        <v/>
      </c>
      <c r="I81" s="6">
        <f t="shared" si="6"/>
        <v>4692</v>
      </c>
      <c r="J81" s="14">
        <f t="shared" si="4"/>
        <v>703.8</v>
      </c>
    </row>
    <row r="82" spans="1:10" x14ac:dyDescent="0.35">
      <c r="A82" t="s">
        <v>87</v>
      </c>
      <c r="B82" s="2">
        <v>45313</v>
      </c>
      <c r="C82" t="s">
        <v>207</v>
      </c>
      <c r="D82" t="s">
        <v>214</v>
      </c>
      <c r="E82" t="s">
        <v>217</v>
      </c>
      <c r="F82">
        <v>5</v>
      </c>
      <c r="G82">
        <v>83</v>
      </c>
      <c r="H82" t="str">
        <f t="shared" si="5"/>
        <v/>
      </c>
      <c r="I82" s="6">
        <f t="shared" si="6"/>
        <v>415</v>
      </c>
      <c r="J82" s="14">
        <f t="shared" si="4"/>
        <v>0</v>
      </c>
    </row>
    <row r="83" spans="1:10" x14ac:dyDescent="0.35">
      <c r="A83" t="s">
        <v>88</v>
      </c>
      <c r="B83" s="2">
        <v>45326</v>
      </c>
      <c r="C83" t="s">
        <v>210</v>
      </c>
      <c r="D83" t="s">
        <v>212</v>
      </c>
      <c r="E83" t="s">
        <v>215</v>
      </c>
      <c r="F83">
        <v>5</v>
      </c>
      <c r="G83">
        <v>198</v>
      </c>
      <c r="H83" t="str">
        <f t="shared" si="5"/>
        <v/>
      </c>
      <c r="I83" s="6">
        <f t="shared" si="6"/>
        <v>990</v>
      </c>
      <c r="J83" s="14">
        <f t="shared" si="4"/>
        <v>0</v>
      </c>
    </row>
    <row r="84" spans="1:10" x14ac:dyDescent="0.35">
      <c r="A84" t="s">
        <v>89</v>
      </c>
      <c r="B84" s="2">
        <v>45301</v>
      </c>
      <c r="C84" t="s">
        <v>207</v>
      </c>
      <c r="D84" t="s">
        <v>211</v>
      </c>
      <c r="E84" t="s">
        <v>216</v>
      </c>
      <c r="F84">
        <v>6</v>
      </c>
      <c r="G84">
        <v>485</v>
      </c>
      <c r="H84" t="str">
        <f t="shared" si="5"/>
        <v/>
      </c>
      <c r="I84" s="6">
        <f t="shared" si="6"/>
        <v>2910</v>
      </c>
      <c r="J84" s="14">
        <f t="shared" si="4"/>
        <v>436.5</v>
      </c>
    </row>
    <row r="85" spans="1:10" x14ac:dyDescent="0.35">
      <c r="A85" t="s">
        <v>90</v>
      </c>
      <c r="B85" s="2">
        <v>45336</v>
      </c>
      <c r="C85" t="s">
        <v>209</v>
      </c>
      <c r="D85" t="s">
        <v>214</v>
      </c>
      <c r="E85" t="s">
        <v>217</v>
      </c>
      <c r="F85">
        <v>3</v>
      </c>
      <c r="G85">
        <v>413</v>
      </c>
      <c r="H85" t="str">
        <f t="shared" si="5"/>
        <v/>
      </c>
      <c r="I85" s="6">
        <f t="shared" si="6"/>
        <v>1239</v>
      </c>
      <c r="J85" s="14">
        <f t="shared" si="4"/>
        <v>123.9</v>
      </c>
    </row>
    <row r="86" spans="1:10" x14ac:dyDescent="0.35">
      <c r="A86" t="s">
        <v>91</v>
      </c>
      <c r="B86" s="2">
        <v>45305</v>
      </c>
      <c r="C86" t="s">
        <v>207</v>
      </c>
      <c r="D86" t="s">
        <v>214</v>
      </c>
      <c r="E86" t="s">
        <v>216</v>
      </c>
      <c r="F86">
        <v>16</v>
      </c>
      <c r="G86">
        <v>376</v>
      </c>
      <c r="H86" t="str">
        <f t="shared" si="5"/>
        <v/>
      </c>
      <c r="I86" s="6">
        <f t="shared" si="6"/>
        <v>6016</v>
      </c>
      <c r="J86" s="14">
        <f t="shared" si="4"/>
        <v>902.4</v>
      </c>
    </row>
    <row r="87" spans="1:10" x14ac:dyDescent="0.35">
      <c r="A87" t="s">
        <v>92</v>
      </c>
      <c r="B87" s="2">
        <v>45318</v>
      </c>
      <c r="C87" t="s">
        <v>207</v>
      </c>
      <c r="D87" t="s">
        <v>212</v>
      </c>
      <c r="E87" t="s">
        <v>216</v>
      </c>
      <c r="F87">
        <v>19</v>
      </c>
      <c r="G87">
        <v>235</v>
      </c>
      <c r="H87" t="str">
        <f t="shared" si="5"/>
        <v/>
      </c>
      <c r="I87" s="6">
        <f t="shared" si="6"/>
        <v>4465</v>
      </c>
      <c r="J87" s="14">
        <f t="shared" si="4"/>
        <v>669.75</v>
      </c>
    </row>
    <row r="88" spans="1:10" x14ac:dyDescent="0.35">
      <c r="A88" t="s">
        <v>93</v>
      </c>
      <c r="B88" s="2">
        <v>45321</v>
      </c>
      <c r="C88" t="s">
        <v>208</v>
      </c>
      <c r="D88" t="s">
        <v>214</v>
      </c>
      <c r="E88" t="s">
        <v>217</v>
      </c>
      <c r="F88">
        <v>15</v>
      </c>
      <c r="G88">
        <v>112</v>
      </c>
      <c r="H88" t="str">
        <f t="shared" si="5"/>
        <v/>
      </c>
      <c r="I88" s="6">
        <f t="shared" si="6"/>
        <v>1680</v>
      </c>
      <c r="J88" s="14">
        <f t="shared" si="4"/>
        <v>168</v>
      </c>
    </row>
    <row r="89" spans="1:10" x14ac:dyDescent="0.35">
      <c r="A89" t="s">
        <v>94</v>
      </c>
      <c r="B89" s="2">
        <v>45305</v>
      </c>
      <c r="C89" t="s">
        <v>209</v>
      </c>
      <c r="D89" t="s">
        <v>212</v>
      </c>
      <c r="E89" t="s">
        <v>215</v>
      </c>
      <c r="F89">
        <v>19</v>
      </c>
      <c r="G89">
        <v>455</v>
      </c>
      <c r="H89" t="str">
        <f t="shared" si="5"/>
        <v/>
      </c>
      <c r="I89" s="6">
        <f t="shared" si="6"/>
        <v>8645</v>
      </c>
      <c r="J89" s="14">
        <f t="shared" si="4"/>
        <v>1296.75</v>
      </c>
    </row>
    <row r="90" spans="1:10" x14ac:dyDescent="0.35">
      <c r="A90" t="s">
        <v>95</v>
      </c>
      <c r="B90" s="2">
        <v>45316</v>
      </c>
      <c r="C90" t="s">
        <v>209</v>
      </c>
      <c r="D90" t="s">
        <v>214</v>
      </c>
      <c r="E90" t="s">
        <v>217</v>
      </c>
      <c r="F90">
        <v>20</v>
      </c>
      <c r="G90">
        <v>454</v>
      </c>
      <c r="H90" t="str">
        <f t="shared" si="5"/>
        <v/>
      </c>
      <c r="I90" s="6">
        <f t="shared" si="6"/>
        <v>9080</v>
      </c>
      <c r="J90" s="14">
        <f t="shared" si="4"/>
        <v>1362</v>
      </c>
    </row>
    <row r="91" spans="1:10" x14ac:dyDescent="0.35">
      <c r="A91" t="s">
        <v>96</v>
      </c>
      <c r="B91" s="2">
        <v>45329</v>
      </c>
      <c r="C91" t="s">
        <v>207</v>
      </c>
      <c r="D91" t="s">
        <v>211</v>
      </c>
      <c r="E91" t="s">
        <v>217</v>
      </c>
      <c r="F91">
        <v>11</v>
      </c>
      <c r="G91">
        <v>234</v>
      </c>
      <c r="H91" t="str">
        <f t="shared" si="5"/>
        <v/>
      </c>
      <c r="I91" s="6">
        <f t="shared" si="6"/>
        <v>2574</v>
      </c>
      <c r="J91" s="14">
        <f t="shared" si="4"/>
        <v>386.09999999999997</v>
      </c>
    </row>
    <row r="92" spans="1:10" x14ac:dyDescent="0.35">
      <c r="A92" t="s">
        <v>97</v>
      </c>
      <c r="B92" s="2">
        <v>45293</v>
      </c>
      <c r="C92" t="s">
        <v>207</v>
      </c>
      <c r="D92" t="s">
        <v>214</v>
      </c>
      <c r="E92" t="s">
        <v>215</v>
      </c>
      <c r="F92">
        <v>3</v>
      </c>
      <c r="G92">
        <v>238</v>
      </c>
      <c r="H92" t="str">
        <f t="shared" si="5"/>
        <v/>
      </c>
      <c r="I92" s="6">
        <f t="shared" si="6"/>
        <v>714</v>
      </c>
      <c r="J92" s="14">
        <f t="shared" si="4"/>
        <v>0</v>
      </c>
    </row>
    <row r="93" spans="1:10" x14ac:dyDescent="0.35">
      <c r="A93" t="s">
        <v>98</v>
      </c>
      <c r="B93" s="2">
        <v>45340</v>
      </c>
      <c r="C93" t="s">
        <v>207</v>
      </c>
      <c r="D93" t="s">
        <v>211</v>
      </c>
      <c r="E93" t="s">
        <v>215</v>
      </c>
      <c r="F93">
        <v>10</v>
      </c>
      <c r="G93">
        <v>332</v>
      </c>
      <c r="H93" t="str">
        <f t="shared" si="5"/>
        <v/>
      </c>
      <c r="I93" s="6">
        <f t="shared" si="6"/>
        <v>3320</v>
      </c>
      <c r="J93" s="14">
        <f t="shared" si="4"/>
        <v>498</v>
      </c>
    </row>
    <row r="94" spans="1:10" x14ac:dyDescent="0.35">
      <c r="A94" t="s">
        <v>99</v>
      </c>
      <c r="B94" s="2">
        <v>45322</v>
      </c>
      <c r="C94" t="s">
        <v>210</v>
      </c>
      <c r="D94" t="s">
        <v>213</v>
      </c>
      <c r="E94" t="s">
        <v>217</v>
      </c>
      <c r="F94">
        <v>19</v>
      </c>
      <c r="G94">
        <v>94</v>
      </c>
      <c r="H94" t="str">
        <f t="shared" si="5"/>
        <v/>
      </c>
      <c r="I94" s="6">
        <f t="shared" si="6"/>
        <v>1786</v>
      </c>
      <c r="J94" s="14">
        <f t="shared" si="4"/>
        <v>178.60000000000002</v>
      </c>
    </row>
    <row r="95" spans="1:10" x14ac:dyDescent="0.35">
      <c r="A95" t="s">
        <v>100</v>
      </c>
      <c r="B95" s="2">
        <f>IF(AND(B94&lt;&gt;"", B96&lt;&gt;""), (B94 + B96) / 2, "")</f>
        <v>45331</v>
      </c>
      <c r="C95" t="s">
        <v>207</v>
      </c>
      <c r="D95" t="s">
        <v>214</v>
      </c>
      <c r="E95" t="s">
        <v>215</v>
      </c>
      <c r="G95">
        <v>253</v>
      </c>
      <c r="H95" t="str">
        <f t="shared" si="5"/>
        <v>Check Quantity/Price</v>
      </c>
      <c r="I95" s="6">
        <f t="shared" si="6"/>
        <v>0</v>
      </c>
      <c r="J95" s="14">
        <f t="shared" si="4"/>
        <v>0</v>
      </c>
    </row>
    <row r="96" spans="1:10" x14ac:dyDescent="0.35">
      <c r="A96" t="s">
        <v>101</v>
      </c>
      <c r="B96" s="2">
        <v>45340</v>
      </c>
      <c r="C96" t="s">
        <v>209</v>
      </c>
      <c r="D96" t="s">
        <v>213</v>
      </c>
      <c r="E96" t="s">
        <v>216</v>
      </c>
      <c r="F96">
        <v>10</v>
      </c>
      <c r="G96">
        <v>418</v>
      </c>
      <c r="H96" t="str">
        <f t="shared" si="5"/>
        <v/>
      </c>
      <c r="I96" s="6">
        <f t="shared" si="6"/>
        <v>4180</v>
      </c>
      <c r="J96" s="14">
        <f t="shared" si="4"/>
        <v>627</v>
      </c>
    </row>
    <row r="97" spans="1:10" x14ac:dyDescent="0.35">
      <c r="A97" t="s">
        <v>102</v>
      </c>
      <c r="B97" s="2">
        <v>45349</v>
      </c>
      <c r="C97" t="s">
        <v>209</v>
      </c>
      <c r="D97" t="s">
        <v>211</v>
      </c>
      <c r="E97" t="s">
        <v>215</v>
      </c>
      <c r="F97">
        <v>2</v>
      </c>
      <c r="G97">
        <v>260</v>
      </c>
      <c r="H97" t="str">
        <f t="shared" si="5"/>
        <v/>
      </c>
      <c r="I97" s="6">
        <f t="shared" si="6"/>
        <v>520</v>
      </c>
      <c r="J97" s="14">
        <f t="shared" si="4"/>
        <v>0</v>
      </c>
    </row>
    <row r="98" spans="1:10" x14ac:dyDescent="0.35">
      <c r="A98" t="s">
        <v>103</v>
      </c>
      <c r="B98" s="2">
        <v>45318</v>
      </c>
      <c r="C98" t="s">
        <v>207</v>
      </c>
      <c r="D98" t="s">
        <v>212</v>
      </c>
      <c r="E98" t="s">
        <v>216</v>
      </c>
      <c r="G98">
        <v>471</v>
      </c>
      <c r="H98" t="str">
        <f t="shared" si="5"/>
        <v>Check Quantity/Price</v>
      </c>
      <c r="I98" s="6">
        <f t="shared" si="6"/>
        <v>0</v>
      </c>
      <c r="J98" s="14">
        <f t="shared" ref="J98:J129" si="7">IF(I98&gt;=2000, I98*0.15, IF(I98&gt;=1000, I98*0.1, 0))</f>
        <v>0</v>
      </c>
    </row>
    <row r="99" spans="1:10" x14ac:dyDescent="0.35">
      <c r="A99" t="s">
        <v>104</v>
      </c>
      <c r="B99" s="2">
        <v>45339</v>
      </c>
      <c r="C99" t="s">
        <v>210</v>
      </c>
      <c r="D99" t="s">
        <v>211</v>
      </c>
      <c r="E99" t="s">
        <v>216</v>
      </c>
      <c r="F99">
        <v>3</v>
      </c>
      <c r="G99">
        <v>114</v>
      </c>
      <c r="H99" t="str">
        <f t="shared" si="5"/>
        <v/>
      </c>
      <c r="I99" s="6">
        <f t="shared" si="6"/>
        <v>342</v>
      </c>
      <c r="J99" s="14">
        <f t="shared" si="7"/>
        <v>0</v>
      </c>
    </row>
    <row r="100" spans="1:10" x14ac:dyDescent="0.35">
      <c r="A100" t="s">
        <v>105</v>
      </c>
      <c r="B100" s="2">
        <v>45330</v>
      </c>
      <c r="C100" t="s">
        <v>209</v>
      </c>
      <c r="D100" t="s">
        <v>211</v>
      </c>
      <c r="E100" t="s">
        <v>216</v>
      </c>
      <c r="F100">
        <v>3</v>
      </c>
      <c r="G100">
        <v>378</v>
      </c>
      <c r="H100" t="str">
        <f t="shared" si="5"/>
        <v/>
      </c>
      <c r="I100" s="6">
        <f t="shared" si="6"/>
        <v>1134</v>
      </c>
      <c r="J100" s="14">
        <f t="shared" si="7"/>
        <v>113.4</v>
      </c>
    </row>
    <row r="101" spans="1:10" x14ac:dyDescent="0.35">
      <c r="A101" t="s">
        <v>106</v>
      </c>
      <c r="B101" s="2">
        <v>45323</v>
      </c>
      <c r="C101" t="s">
        <v>207</v>
      </c>
      <c r="D101" t="s">
        <v>212</v>
      </c>
      <c r="E101" t="s">
        <v>215</v>
      </c>
      <c r="F101">
        <v>17</v>
      </c>
      <c r="G101">
        <v>288</v>
      </c>
      <c r="H101" t="str">
        <f t="shared" si="5"/>
        <v/>
      </c>
      <c r="I101" s="6">
        <f t="shared" si="6"/>
        <v>4896</v>
      </c>
      <c r="J101" s="14">
        <f t="shared" si="7"/>
        <v>734.4</v>
      </c>
    </row>
    <row r="102" spans="1:10" x14ac:dyDescent="0.35">
      <c r="A102" t="s">
        <v>107</v>
      </c>
      <c r="B102" s="2">
        <v>45319</v>
      </c>
      <c r="C102" t="s">
        <v>209</v>
      </c>
      <c r="D102" t="s">
        <v>213</v>
      </c>
      <c r="E102" t="s">
        <v>215</v>
      </c>
      <c r="F102">
        <v>19</v>
      </c>
      <c r="G102">
        <v>226</v>
      </c>
      <c r="H102" t="str">
        <f t="shared" si="5"/>
        <v/>
      </c>
      <c r="I102" s="6">
        <f t="shared" si="6"/>
        <v>4294</v>
      </c>
      <c r="J102" s="14">
        <f t="shared" si="7"/>
        <v>644.1</v>
      </c>
    </row>
    <row r="103" spans="1:10" x14ac:dyDescent="0.35">
      <c r="A103" t="s">
        <v>108</v>
      </c>
      <c r="B103" s="2">
        <v>45316</v>
      </c>
      <c r="C103" t="s">
        <v>210</v>
      </c>
      <c r="D103" t="s">
        <v>214</v>
      </c>
      <c r="E103" t="s">
        <v>217</v>
      </c>
      <c r="F103">
        <v>2</v>
      </c>
      <c r="G103">
        <v>474</v>
      </c>
      <c r="H103" t="str">
        <f t="shared" si="5"/>
        <v/>
      </c>
      <c r="I103" s="6">
        <f t="shared" si="6"/>
        <v>948</v>
      </c>
      <c r="J103" s="14">
        <f t="shared" si="7"/>
        <v>0</v>
      </c>
    </row>
    <row r="104" spans="1:10" x14ac:dyDescent="0.35">
      <c r="A104" t="s">
        <v>109</v>
      </c>
      <c r="B104" s="2">
        <v>45335</v>
      </c>
      <c r="C104" t="s">
        <v>208</v>
      </c>
      <c r="D104" t="s">
        <v>211</v>
      </c>
      <c r="E104" t="s">
        <v>215</v>
      </c>
      <c r="F104">
        <v>19</v>
      </c>
      <c r="G104">
        <v>377</v>
      </c>
      <c r="H104" t="str">
        <f t="shared" si="5"/>
        <v/>
      </c>
      <c r="I104" s="6">
        <f t="shared" si="6"/>
        <v>7163</v>
      </c>
      <c r="J104" s="14">
        <f t="shared" si="7"/>
        <v>1074.45</v>
      </c>
    </row>
    <row r="105" spans="1:10" x14ac:dyDescent="0.35">
      <c r="A105" t="s">
        <v>110</v>
      </c>
      <c r="B105" s="2">
        <v>45338</v>
      </c>
      <c r="C105" t="s">
        <v>209</v>
      </c>
      <c r="D105" t="s">
        <v>211</v>
      </c>
      <c r="E105" t="s">
        <v>215</v>
      </c>
      <c r="F105">
        <v>11</v>
      </c>
      <c r="G105">
        <v>443</v>
      </c>
      <c r="H105" t="str">
        <f t="shared" si="5"/>
        <v/>
      </c>
      <c r="I105" s="6">
        <f t="shared" si="6"/>
        <v>4873</v>
      </c>
      <c r="J105" s="14">
        <f t="shared" si="7"/>
        <v>730.94999999999993</v>
      </c>
    </row>
    <row r="106" spans="1:10" x14ac:dyDescent="0.35">
      <c r="A106" t="s">
        <v>111</v>
      </c>
      <c r="B106" s="2">
        <v>45321</v>
      </c>
      <c r="C106" t="s">
        <v>208</v>
      </c>
      <c r="D106" t="s">
        <v>214</v>
      </c>
      <c r="E106" t="s">
        <v>216</v>
      </c>
      <c r="F106">
        <v>17</v>
      </c>
      <c r="G106">
        <v>271</v>
      </c>
      <c r="H106" t="str">
        <f t="shared" si="5"/>
        <v/>
      </c>
      <c r="I106" s="6">
        <f t="shared" si="6"/>
        <v>4607</v>
      </c>
      <c r="J106" s="14">
        <f t="shared" si="7"/>
        <v>691.05</v>
      </c>
    </row>
    <row r="107" spans="1:10" x14ac:dyDescent="0.35">
      <c r="A107" t="s">
        <v>112</v>
      </c>
      <c r="B107" s="2">
        <v>45331</v>
      </c>
      <c r="C107" t="s">
        <v>207</v>
      </c>
      <c r="D107" t="s">
        <v>211</v>
      </c>
      <c r="E107" t="s">
        <v>215</v>
      </c>
      <c r="F107">
        <v>2</v>
      </c>
      <c r="G107">
        <v>494</v>
      </c>
      <c r="H107" t="str">
        <f t="shared" si="5"/>
        <v/>
      </c>
      <c r="I107" s="6">
        <f t="shared" si="6"/>
        <v>988</v>
      </c>
      <c r="J107" s="14">
        <f t="shared" si="7"/>
        <v>0</v>
      </c>
    </row>
    <row r="108" spans="1:10" x14ac:dyDescent="0.35">
      <c r="A108" t="s">
        <v>113</v>
      </c>
      <c r="B108" s="2">
        <v>45350</v>
      </c>
      <c r="C108" t="s">
        <v>210</v>
      </c>
      <c r="D108" t="s">
        <v>214</v>
      </c>
      <c r="E108" t="s">
        <v>215</v>
      </c>
      <c r="F108">
        <v>11</v>
      </c>
      <c r="G108">
        <v>113</v>
      </c>
      <c r="H108" t="str">
        <f t="shared" si="5"/>
        <v/>
      </c>
      <c r="I108" s="6">
        <f t="shared" si="6"/>
        <v>1243</v>
      </c>
      <c r="J108" s="14">
        <f t="shared" si="7"/>
        <v>124.30000000000001</v>
      </c>
    </row>
    <row r="109" spans="1:10" x14ac:dyDescent="0.35">
      <c r="A109" t="s">
        <v>114</v>
      </c>
      <c r="B109" s="2">
        <v>45328</v>
      </c>
      <c r="C109" t="s">
        <v>207</v>
      </c>
      <c r="D109" t="s">
        <v>214</v>
      </c>
      <c r="E109" t="s">
        <v>216</v>
      </c>
      <c r="F109">
        <v>3</v>
      </c>
      <c r="G109">
        <v>205</v>
      </c>
      <c r="H109" t="str">
        <f t="shared" si="5"/>
        <v/>
      </c>
      <c r="I109" s="6">
        <f t="shared" si="6"/>
        <v>615</v>
      </c>
      <c r="J109" s="14">
        <f t="shared" si="7"/>
        <v>0</v>
      </c>
    </row>
    <row r="110" spans="1:10" x14ac:dyDescent="0.35">
      <c r="A110" t="s">
        <v>115</v>
      </c>
      <c r="B110" s="2">
        <v>45297</v>
      </c>
      <c r="C110" t="s">
        <v>208</v>
      </c>
      <c r="D110" t="s">
        <v>214</v>
      </c>
      <c r="E110" t="s">
        <v>215</v>
      </c>
      <c r="F110">
        <v>6</v>
      </c>
      <c r="G110">
        <v>215</v>
      </c>
      <c r="H110" t="str">
        <f t="shared" si="5"/>
        <v/>
      </c>
      <c r="I110" s="6">
        <f t="shared" si="6"/>
        <v>1290</v>
      </c>
      <c r="J110" s="14">
        <f t="shared" si="7"/>
        <v>129</v>
      </c>
    </row>
    <row r="111" spans="1:10" x14ac:dyDescent="0.35">
      <c r="A111" t="s">
        <v>116</v>
      </c>
      <c r="B111" s="2">
        <v>45300</v>
      </c>
      <c r="C111" t="s">
        <v>210</v>
      </c>
      <c r="D111" t="s">
        <v>212</v>
      </c>
      <c r="E111" t="s">
        <v>216</v>
      </c>
      <c r="G111">
        <v>165</v>
      </c>
      <c r="H111" t="str">
        <f t="shared" si="5"/>
        <v>Check Quantity/Price</v>
      </c>
      <c r="I111" s="6">
        <f t="shared" si="6"/>
        <v>0</v>
      </c>
      <c r="J111" s="14">
        <f t="shared" si="7"/>
        <v>0</v>
      </c>
    </row>
    <row r="112" spans="1:10" x14ac:dyDescent="0.35">
      <c r="A112" t="s">
        <v>117</v>
      </c>
      <c r="B112" s="2">
        <v>45303</v>
      </c>
      <c r="C112" t="s">
        <v>209</v>
      </c>
      <c r="D112" t="s">
        <v>213</v>
      </c>
      <c r="E112" t="s">
        <v>215</v>
      </c>
      <c r="F112">
        <v>15</v>
      </c>
      <c r="G112">
        <v>315</v>
      </c>
      <c r="H112" t="str">
        <f t="shared" si="5"/>
        <v/>
      </c>
      <c r="I112" s="6">
        <f t="shared" si="6"/>
        <v>4725</v>
      </c>
      <c r="J112" s="14">
        <f t="shared" si="7"/>
        <v>708.75</v>
      </c>
    </row>
    <row r="113" spans="1:10" x14ac:dyDescent="0.35">
      <c r="A113" t="s">
        <v>118</v>
      </c>
      <c r="B113" s="2">
        <v>45316</v>
      </c>
      <c r="C113" t="s">
        <v>209</v>
      </c>
      <c r="D113" t="s">
        <v>213</v>
      </c>
      <c r="E113" t="s">
        <v>215</v>
      </c>
      <c r="F113">
        <v>20</v>
      </c>
      <c r="G113">
        <v>483</v>
      </c>
      <c r="H113" t="str">
        <f t="shared" si="5"/>
        <v/>
      </c>
      <c r="I113" s="6">
        <f t="shared" si="6"/>
        <v>9660</v>
      </c>
      <c r="J113" s="14">
        <f t="shared" si="7"/>
        <v>1449</v>
      </c>
    </row>
    <row r="114" spans="1:10" x14ac:dyDescent="0.35">
      <c r="A114" t="s">
        <v>119</v>
      </c>
      <c r="B114" s="2">
        <v>45321</v>
      </c>
      <c r="C114" t="s">
        <v>208</v>
      </c>
      <c r="D114" t="s">
        <v>214</v>
      </c>
      <c r="E114" t="s">
        <v>217</v>
      </c>
      <c r="F114">
        <v>12</v>
      </c>
      <c r="G114">
        <v>150</v>
      </c>
      <c r="H114" t="str">
        <f t="shared" si="5"/>
        <v/>
      </c>
      <c r="I114" s="6">
        <f t="shared" si="6"/>
        <v>1800</v>
      </c>
      <c r="J114" s="14">
        <f t="shared" si="7"/>
        <v>180</v>
      </c>
    </row>
    <row r="115" spans="1:10" x14ac:dyDescent="0.35">
      <c r="A115" t="s">
        <v>120</v>
      </c>
      <c r="B115" s="2">
        <v>45340</v>
      </c>
      <c r="C115" t="s">
        <v>208</v>
      </c>
      <c r="D115" t="s">
        <v>212</v>
      </c>
      <c r="E115" t="s">
        <v>215</v>
      </c>
      <c r="F115">
        <v>13</v>
      </c>
      <c r="G115">
        <v>332</v>
      </c>
      <c r="H115" t="str">
        <f t="shared" si="5"/>
        <v/>
      </c>
      <c r="I115" s="6">
        <f t="shared" si="6"/>
        <v>4316</v>
      </c>
      <c r="J115" s="14">
        <f t="shared" si="7"/>
        <v>647.4</v>
      </c>
    </row>
    <row r="116" spans="1:10" x14ac:dyDescent="0.35">
      <c r="A116" t="s">
        <v>121</v>
      </c>
      <c r="B116" s="2">
        <v>45309</v>
      </c>
      <c r="C116" t="s">
        <v>209</v>
      </c>
      <c r="D116" t="s">
        <v>214</v>
      </c>
      <c r="E116" t="s">
        <v>216</v>
      </c>
      <c r="F116">
        <v>11</v>
      </c>
      <c r="G116">
        <v>370</v>
      </c>
      <c r="H116" t="str">
        <f t="shared" si="5"/>
        <v/>
      </c>
      <c r="I116" s="6">
        <f t="shared" si="6"/>
        <v>4070</v>
      </c>
      <c r="J116" s="14">
        <f t="shared" si="7"/>
        <v>610.5</v>
      </c>
    </row>
    <row r="117" spans="1:10" x14ac:dyDescent="0.35">
      <c r="A117" t="s">
        <v>122</v>
      </c>
      <c r="B117" s="2">
        <v>45345</v>
      </c>
      <c r="C117" t="s">
        <v>209</v>
      </c>
      <c r="D117" t="s">
        <v>213</v>
      </c>
      <c r="E117" t="s">
        <v>215</v>
      </c>
      <c r="F117">
        <v>2</v>
      </c>
      <c r="G117">
        <v>323</v>
      </c>
      <c r="H117" t="str">
        <f t="shared" si="5"/>
        <v/>
      </c>
      <c r="I117" s="6">
        <f t="shared" si="6"/>
        <v>646</v>
      </c>
      <c r="J117" s="14">
        <f t="shared" si="7"/>
        <v>0</v>
      </c>
    </row>
    <row r="118" spans="1:10" x14ac:dyDescent="0.35">
      <c r="A118" t="s">
        <v>123</v>
      </c>
      <c r="B118" s="2">
        <v>45345</v>
      </c>
      <c r="C118" t="s">
        <v>209</v>
      </c>
      <c r="D118" t="s">
        <v>213</v>
      </c>
      <c r="E118" t="s">
        <v>217</v>
      </c>
      <c r="F118">
        <v>11</v>
      </c>
      <c r="G118">
        <v>378</v>
      </c>
      <c r="H118" t="str">
        <f t="shared" si="5"/>
        <v/>
      </c>
      <c r="I118" s="6">
        <f t="shared" si="6"/>
        <v>4158</v>
      </c>
      <c r="J118" s="14">
        <f t="shared" si="7"/>
        <v>623.69999999999993</v>
      </c>
    </row>
    <row r="119" spans="1:10" x14ac:dyDescent="0.35">
      <c r="A119" t="s">
        <v>124</v>
      </c>
      <c r="B119" s="2">
        <v>45293</v>
      </c>
      <c r="C119" t="s">
        <v>208</v>
      </c>
      <c r="D119" t="s">
        <v>213</v>
      </c>
      <c r="E119" t="s">
        <v>215</v>
      </c>
      <c r="G119">
        <v>347</v>
      </c>
      <c r="H119" t="str">
        <f t="shared" si="5"/>
        <v>Check Quantity/Price</v>
      </c>
      <c r="I119" s="6">
        <f t="shared" si="6"/>
        <v>0</v>
      </c>
      <c r="J119" s="14">
        <f t="shared" si="7"/>
        <v>0</v>
      </c>
    </row>
    <row r="120" spans="1:10" x14ac:dyDescent="0.35">
      <c r="A120" t="s">
        <v>125</v>
      </c>
      <c r="B120" s="2">
        <v>45295</v>
      </c>
      <c r="C120" t="s">
        <v>207</v>
      </c>
      <c r="D120" t="s">
        <v>211</v>
      </c>
      <c r="E120" t="s">
        <v>215</v>
      </c>
      <c r="G120">
        <v>387</v>
      </c>
      <c r="H120" t="str">
        <f t="shared" si="5"/>
        <v>Check Quantity/Price</v>
      </c>
      <c r="I120" s="6">
        <f t="shared" si="6"/>
        <v>0</v>
      </c>
      <c r="J120" s="14">
        <f t="shared" si="7"/>
        <v>0</v>
      </c>
    </row>
    <row r="121" spans="1:10" x14ac:dyDescent="0.35">
      <c r="A121" t="s">
        <v>126</v>
      </c>
      <c r="B121" s="2">
        <v>45314</v>
      </c>
      <c r="C121" t="s">
        <v>210</v>
      </c>
      <c r="D121" t="s">
        <v>214</v>
      </c>
      <c r="E121" t="s">
        <v>216</v>
      </c>
      <c r="F121">
        <v>10</v>
      </c>
      <c r="G121">
        <v>359</v>
      </c>
      <c r="H121" t="str">
        <f t="shared" si="5"/>
        <v/>
      </c>
      <c r="I121" s="6">
        <f t="shared" si="6"/>
        <v>3590</v>
      </c>
      <c r="J121" s="14">
        <f t="shared" si="7"/>
        <v>538.5</v>
      </c>
    </row>
    <row r="122" spans="1:10" x14ac:dyDescent="0.35">
      <c r="A122" t="s">
        <v>127</v>
      </c>
      <c r="B122" s="2">
        <v>45296</v>
      </c>
      <c r="C122" t="s">
        <v>209</v>
      </c>
      <c r="D122" t="s">
        <v>212</v>
      </c>
      <c r="E122" t="s">
        <v>217</v>
      </c>
      <c r="F122">
        <v>20</v>
      </c>
      <c r="H122" t="str">
        <f t="shared" si="5"/>
        <v>Check Quantity/Price</v>
      </c>
      <c r="I122" s="6">
        <f t="shared" si="6"/>
        <v>0</v>
      </c>
      <c r="J122" s="14">
        <f t="shared" si="7"/>
        <v>0</v>
      </c>
    </row>
    <row r="123" spans="1:10" x14ac:dyDescent="0.35">
      <c r="A123" t="s">
        <v>128</v>
      </c>
      <c r="B123" s="2">
        <v>45333</v>
      </c>
      <c r="C123" t="s">
        <v>210</v>
      </c>
      <c r="D123" t="s">
        <v>214</v>
      </c>
      <c r="E123" t="s">
        <v>215</v>
      </c>
      <c r="F123">
        <v>11</v>
      </c>
      <c r="H123" t="str">
        <f t="shared" si="5"/>
        <v>Check Quantity/Price</v>
      </c>
      <c r="I123" s="6">
        <f t="shared" si="6"/>
        <v>0</v>
      </c>
      <c r="J123" s="14">
        <f t="shared" si="7"/>
        <v>0</v>
      </c>
    </row>
    <row r="124" spans="1:10" x14ac:dyDescent="0.35">
      <c r="A124" t="s">
        <v>129</v>
      </c>
      <c r="B124" s="2">
        <f t="shared" ref="B124:B125" ca="1" si="8">IF(AND(B123&lt;&gt;"", B125&lt;&gt;""), (B123 + B125) / 2, "")</f>
        <v>45330</v>
      </c>
      <c r="C124" t="s">
        <v>209</v>
      </c>
      <c r="D124" t="s">
        <v>213</v>
      </c>
      <c r="E124" t="s">
        <v>215</v>
      </c>
      <c r="G124">
        <v>91</v>
      </c>
      <c r="H124" t="str">
        <f t="shared" si="5"/>
        <v>Check Quantity/Price</v>
      </c>
      <c r="I124" s="6">
        <f t="shared" si="6"/>
        <v>0</v>
      </c>
      <c r="J124" s="14">
        <f t="shared" si="7"/>
        <v>0</v>
      </c>
    </row>
    <row r="125" spans="1:10" x14ac:dyDescent="0.35">
      <c r="A125" t="s">
        <v>130</v>
      </c>
      <c r="B125" s="2">
        <f t="shared" ca="1" si="8"/>
        <v>45330</v>
      </c>
      <c r="C125" t="s">
        <v>209</v>
      </c>
      <c r="D125" t="s">
        <v>212</v>
      </c>
      <c r="E125" t="s">
        <v>216</v>
      </c>
      <c r="F125">
        <v>12</v>
      </c>
      <c r="H125" t="str">
        <f t="shared" si="5"/>
        <v>Check Quantity/Price</v>
      </c>
      <c r="I125" s="6">
        <f t="shared" si="6"/>
        <v>0</v>
      </c>
      <c r="J125" s="14">
        <f t="shared" si="7"/>
        <v>0</v>
      </c>
    </row>
    <row r="126" spans="1:10" x14ac:dyDescent="0.35">
      <c r="A126" t="s">
        <v>131</v>
      </c>
      <c r="B126" s="2">
        <v>45345</v>
      </c>
      <c r="C126" t="s">
        <v>207</v>
      </c>
      <c r="D126" t="s">
        <v>214</v>
      </c>
      <c r="E126" t="s">
        <v>215</v>
      </c>
      <c r="F126">
        <v>13</v>
      </c>
      <c r="G126">
        <v>345</v>
      </c>
      <c r="H126" t="str">
        <f t="shared" si="5"/>
        <v/>
      </c>
      <c r="I126" s="6">
        <f t="shared" si="6"/>
        <v>4485</v>
      </c>
      <c r="J126" s="14">
        <f t="shared" si="7"/>
        <v>672.75</v>
      </c>
    </row>
    <row r="127" spans="1:10" x14ac:dyDescent="0.35">
      <c r="A127" t="s">
        <v>132</v>
      </c>
      <c r="B127" s="2">
        <f>IF(AND(B126&lt;&gt;"", B128&lt;&gt;""), (B126 + B128) / 2, "")</f>
        <v>45322.5</v>
      </c>
      <c r="C127" t="s">
        <v>207</v>
      </c>
      <c r="D127" t="s">
        <v>213</v>
      </c>
      <c r="E127" t="s">
        <v>215</v>
      </c>
      <c r="F127">
        <v>3</v>
      </c>
      <c r="G127">
        <v>157</v>
      </c>
      <c r="H127" t="str">
        <f t="shared" si="5"/>
        <v/>
      </c>
      <c r="I127" s="6">
        <f t="shared" si="6"/>
        <v>471</v>
      </c>
      <c r="J127" s="14">
        <f t="shared" si="7"/>
        <v>0</v>
      </c>
    </row>
    <row r="128" spans="1:10" x14ac:dyDescent="0.35">
      <c r="A128" t="s">
        <v>133</v>
      </c>
      <c r="B128" s="2">
        <v>45300</v>
      </c>
      <c r="C128" t="s">
        <v>209</v>
      </c>
      <c r="D128" t="s">
        <v>213</v>
      </c>
      <c r="E128" t="s">
        <v>215</v>
      </c>
      <c r="F128">
        <v>13</v>
      </c>
      <c r="G128">
        <v>263</v>
      </c>
      <c r="H128" t="str">
        <f t="shared" si="5"/>
        <v/>
      </c>
      <c r="I128" s="6">
        <f t="shared" si="6"/>
        <v>3419</v>
      </c>
      <c r="J128" s="14">
        <f t="shared" si="7"/>
        <v>512.85</v>
      </c>
    </row>
    <row r="129" spans="1:10" x14ac:dyDescent="0.35">
      <c r="A129" t="s">
        <v>134</v>
      </c>
      <c r="B129" s="2">
        <v>45299</v>
      </c>
      <c r="C129" t="s">
        <v>209</v>
      </c>
      <c r="D129" t="s">
        <v>212</v>
      </c>
      <c r="E129" t="s">
        <v>217</v>
      </c>
      <c r="F129">
        <v>11</v>
      </c>
      <c r="G129">
        <v>65</v>
      </c>
      <c r="H129" t="str">
        <f t="shared" si="5"/>
        <v/>
      </c>
      <c r="I129" s="6">
        <f t="shared" si="6"/>
        <v>715</v>
      </c>
      <c r="J129" s="14">
        <f t="shared" si="7"/>
        <v>0</v>
      </c>
    </row>
    <row r="130" spans="1:10" x14ac:dyDescent="0.35">
      <c r="A130" t="s">
        <v>135</v>
      </c>
      <c r="B130" s="2">
        <v>45305</v>
      </c>
      <c r="C130" t="s">
        <v>209</v>
      </c>
      <c r="D130" t="s">
        <v>214</v>
      </c>
      <c r="E130" t="s">
        <v>215</v>
      </c>
      <c r="F130">
        <v>17</v>
      </c>
      <c r="G130">
        <v>371</v>
      </c>
      <c r="H130" t="str">
        <f t="shared" si="5"/>
        <v/>
      </c>
      <c r="I130" s="6">
        <f t="shared" si="6"/>
        <v>6307</v>
      </c>
      <c r="J130" s="14">
        <f t="shared" ref="J130:J161" si="9">IF(I130&gt;=2000, I130*0.15, IF(I130&gt;=1000, I130*0.1, 0))</f>
        <v>946.05</v>
      </c>
    </row>
    <row r="131" spans="1:10" x14ac:dyDescent="0.35">
      <c r="A131" t="s">
        <v>136</v>
      </c>
      <c r="B131" s="2">
        <v>45308</v>
      </c>
      <c r="C131" t="s">
        <v>207</v>
      </c>
      <c r="D131" t="s">
        <v>212</v>
      </c>
      <c r="E131" t="s">
        <v>216</v>
      </c>
      <c r="G131">
        <v>378</v>
      </c>
      <c r="H131" t="str">
        <f t="shared" ref="H131:H194" si="10">IF(OR(ISBLANK(F131), F131=0, ISBLANK(G131), G131=0), "Check Quantity/Price", "")</f>
        <v>Check Quantity/Price</v>
      </c>
      <c r="I131" s="6">
        <f t="shared" ref="I131:I194" si="11">IF(AND(F131&lt;&gt;0, F131&lt;&gt;"", G131&lt;&gt;0, G131&lt;&gt;""), F131 * G131, 0)</f>
        <v>0</v>
      </c>
      <c r="J131" s="14">
        <f t="shared" si="9"/>
        <v>0</v>
      </c>
    </row>
    <row r="132" spans="1:10" x14ac:dyDescent="0.35">
      <c r="A132" t="s">
        <v>137</v>
      </c>
      <c r="B132" s="2">
        <v>45302</v>
      </c>
      <c r="C132" t="s">
        <v>210</v>
      </c>
      <c r="D132" t="s">
        <v>214</v>
      </c>
      <c r="E132" t="s">
        <v>217</v>
      </c>
      <c r="F132">
        <v>17</v>
      </c>
      <c r="G132">
        <v>297</v>
      </c>
      <c r="H132" t="str">
        <f t="shared" si="10"/>
        <v/>
      </c>
      <c r="I132" s="6">
        <f t="shared" si="11"/>
        <v>5049</v>
      </c>
      <c r="J132" s="14">
        <f t="shared" si="9"/>
        <v>757.35</v>
      </c>
    </row>
    <row r="133" spans="1:10" x14ac:dyDescent="0.35">
      <c r="A133" t="s">
        <v>138</v>
      </c>
      <c r="B133" s="2">
        <v>45339</v>
      </c>
      <c r="C133" t="s">
        <v>209</v>
      </c>
      <c r="D133" t="s">
        <v>211</v>
      </c>
      <c r="E133" t="s">
        <v>215</v>
      </c>
      <c r="F133">
        <v>12</v>
      </c>
      <c r="G133">
        <v>463</v>
      </c>
      <c r="H133" t="str">
        <f t="shared" si="10"/>
        <v/>
      </c>
      <c r="I133" s="6">
        <f t="shared" si="11"/>
        <v>5556</v>
      </c>
      <c r="J133" s="14">
        <f t="shared" si="9"/>
        <v>833.4</v>
      </c>
    </row>
    <row r="134" spans="1:10" x14ac:dyDescent="0.35">
      <c r="A134" t="s">
        <v>139</v>
      </c>
      <c r="B134" s="2">
        <v>45341</v>
      </c>
      <c r="C134" t="s">
        <v>209</v>
      </c>
      <c r="D134" t="s">
        <v>212</v>
      </c>
      <c r="E134" t="s">
        <v>215</v>
      </c>
      <c r="F134">
        <v>7</v>
      </c>
      <c r="G134">
        <v>202</v>
      </c>
      <c r="H134" t="str">
        <f t="shared" si="10"/>
        <v/>
      </c>
      <c r="I134" s="6">
        <f t="shared" si="11"/>
        <v>1414</v>
      </c>
      <c r="J134" s="14">
        <f t="shared" si="9"/>
        <v>141.4</v>
      </c>
    </row>
    <row r="135" spans="1:10" x14ac:dyDescent="0.35">
      <c r="A135" t="s">
        <v>140</v>
      </c>
      <c r="B135" s="2">
        <v>45311</v>
      </c>
      <c r="C135" t="s">
        <v>207</v>
      </c>
      <c r="D135" t="s">
        <v>214</v>
      </c>
      <c r="E135" t="s">
        <v>217</v>
      </c>
      <c r="F135">
        <v>16</v>
      </c>
      <c r="G135">
        <v>402</v>
      </c>
      <c r="H135" t="str">
        <f t="shared" si="10"/>
        <v/>
      </c>
      <c r="I135" s="6">
        <f t="shared" si="11"/>
        <v>6432</v>
      </c>
      <c r="J135" s="14">
        <f t="shared" si="9"/>
        <v>964.8</v>
      </c>
    </row>
    <row r="136" spans="1:10" x14ac:dyDescent="0.35">
      <c r="A136" t="s">
        <v>141</v>
      </c>
      <c r="B136" s="2">
        <v>45293</v>
      </c>
      <c r="C136" t="s">
        <v>208</v>
      </c>
      <c r="D136" t="s">
        <v>214</v>
      </c>
      <c r="E136" t="s">
        <v>215</v>
      </c>
      <c r="F136">
        <v>5</v>
      </c>
      <c r="G136">
        <v>275</v>
      </c>
      <c r="H136" t="str">
        <f t="shared" si="10"/>
        <v/>
      </c>
      <c r="I136" s="6">
        <f t="shared" si="11"/>
        <v>1375</v>
      </c>
      <c r="J136" s="14">
        <f t="shared" si="9"/>
        <v>137.5</v>
      </c>
    </row>
    <row r="137" spans="1:10" x14ac:dyDescent="0.35">
      <c r="A137" t="s">
        <v>142</v>
      </c>
      <c r="B137" s="2">
        <v>45328</v>
      </c>
      <c r="C137" t="s">
        <v>209</v>
      </c>
      <c r="D137" t="s">
        <v>213</v>
      </c>
      <c r="E137" t="s">
        <v>215</v>
      </c>
      <c r="F137">
        <v>10</v>
      </c>
      <c r="G137">
        <v>287</v>
      </c>
      <c r="H137" t="str">
        <f t="shared" si="10"/>
        <v/>
      </c>
      <c r="I137" s="6">
        <f t="shared" si="11"/>
        <v>2870</v>
      </c>
      <c r="J137" s="14">
        <f t="shared" si="9"/>
        <v>430.5</v>
      </c>
    </row>
    <row r="138" spans="1:10" x14ac:dyDescent="0.35">
      <c r="A138" t="s">
        <v>143</v>
      </c>
      <c r="B138" s="2">
        <v>45316</v>
      </c>
      <c r="C138" t="s">
        <v>207</v>
      </c>
      <c r="D138" t="s">
        <v>211</v>
      </c>
      <c r="E138" t="s">
        <v>216</v>
      </c>
      <c r="F138">
        <v>4</v>
      </c>
      <c r="G138">
        <v>360</v>
      </c>
      <c r="H138" t="str">
        <f t="shared" si="10"/>
        <v/>
      </c>
      <c r="I138" s="6">
        <f t="shared" si="11"/>
        <v>1440</v>
      </c>
      <c r="J138" s="14">
        <f t="shared" si="9"/>
        <v>144</v>
      </c>
    </row>
    <row r="139" spans="1:10" x14ac:dyDescent="0.35">
      <c r="A139" t="s">
        <v>144</v>
      </c>
      <c r="B139" s="2">
        <v>45337</v>
      </c>
      <c r="C139" t="s">
        <v>208</v>
      </c>
      <c r="D139" t="s">
        <v>212</v>
      </c>
      <c r="E139" t="s">
        <v>217</v>
      </c>
      <c r="F139">
        <v>18</v>
      </c>
      <c r="G139">
        <v>491</v>
      </c>
      <c r="H139" t="str">
        <f t="shared" si="10"/>
        <v/>
      </c>
      <c r="I139" s="6">
        <f t="shared" si="11"/>
        <v>8838</v>
      </c>
      <c r="J139" s="14">
        <f t="shared" si="9"/>
        <v>1325.7</v>
      </c>
    </row>
    <row r="140" spans="1:10" x14ac:dyDescent="0.35">
      <c r="A140" t="s">
        <v>145</v>
      </c>
      <c r="B140" s="2">
        <v>45329</v>
      </c>
      <c r="C140" t="s">
        <v>210</v>
      </c>
      <c r="D140" t="s">
        <v>214</v>
      </c>
      <c r="E140" t="s">
        <v>216</v>
      </c>
      <c r="F140">
        <v>17</v>
      </c>
      <c r="G140">
        <v>425</v>
      </c>
      <c r="H140" t="str">
        <f t="shared" si="10"/>
        <v/>
      </c>
      <c r="I140" s="6">
        <f t="shared" si="11"/>
        <v>7225</v>
      </c>
      <c r="J140" s="14">
        <f t="shared" si="9"/>
        <v>1083.75</v>
      </c>
    </row>
    <row r="141" spans="1:10" x14ac:dyDescent="0.35">
      <c r="A141" t="s">
        <v>146</v>
      </c>
      <c r="B141" s="2">
        <v>45332</v>
      </c>
      <c r="C141" t="s">
        <v>207</v>
      </c>
      <c r="D141" t="s">
        <v>214</v>
      </c>
      <c r="E141" t="s">
        <v>215</v>
      </c>
      <c r="G141">
        <v>226</v>
      </c>
      <c r="H141" t="str">
        <f t="shared" si="10"/>
        <v>Check Quantity/Price</v>
      </c>
      <c r="I141" s="6">
        <f t="shared" si="11"/>
        <v>0</v>
      </c>
      <c r="J141" s="14">
        <f t="shared" si="9"/>
        <v>0</v>
      </c>
    </row>
    <row r="142" spans="1:10" x14ac:dyDescent="0.35">
      <c r="A142" t="s">
        <v>147</v>
      </c>
      <c r="B142" s="2">
        <v>45336</v>
      </c>
      <c r="C142" t="s">
        <v>209</v>
      </c>
      <c r="D142" t="s">
        <v>214</v>
      </c>
      <c r="E142" t="s">
        <v>216</v>
      </c>
      <c r="F142">
        <v>20</v>
      </c>
      <c r="G142">
        <v>116</v>
      </c>
      <c r="H142" t="str">
        <f t="shared" si="10"/>
        <v/>
      </c>
      <c r="I142" s="6">
        <f t="shared" si="11"/>
        <v>2320</v>
      </c>
      <c r="J142" s="14">
        <f t="shared" si="9"/>
        <v>348</v>
      </c>
    </row>
    <row r="143" spans="1:10" x14ac:dyDescent="0.35">
      <c r="A143" t="s">
        <v>148</v>
      </c>
      <c r="B143" s="2">
        <v>45346</v>
      </c>
      <c r="C143" t="s">
        <v>208</v>
      </c>
      <c r="D143" t="s">
        <v>212</v>
      </c>
      <c r="E143" t="s">
        <v>215</v>
      </c>
      <c r="F143">
        <v>13</v>
      </c>
      <c r="G143">
        <v>313</v>
      </c>
      <c r="H143" t="str">
        <f t="shared" si="10"/>
        <v/>
      </c>
      <c r="I143" s="6">
        <f t="shared" si="11"/>
        <v>4069</v>
      </c>
      <c r="J143" s="14">
        <f t="shared" si="9"/>
        <v>610.35</v>
      </c>
    </row>
    <row r="144" spans="1:10" x14ac:dyDescent="0.35">
      <c r="A144" t="s">
        <v>149</v>
      </c>
      <c r="B144" s="2">
        <v>45343</v>
      </c>
      <c r="C144" t="s">
        <v>207</v>
      </c>
      <c r="D144" t="s">
        <v>214</v>
      </c>
      <c r="E144" t="s">
        <v>217</v>
      </c>
      <c r="F144">
        <v>6</v>
      </c>
      <c r="G144">
        <v>213</v>
      </c>
      <c r="H144" t="str">
        <f t="shared" si="10"/>
        <v/>
      </c>
      <c r="I144" s="6">
        <f t="shared" si="11"/>
        <v>1278</v>
      </c>
      <c r="J144" s="14">
        <f t="shared" si="9"/>
        <v>127.80000000000001</v>
      </c>
    </row>
    <row r="145" spans="1:10" x14ac:dyDescent="0.35">
      <c r="A145" t="s">
        <v>150</v>
      </c>
      <c r="B145" s="2">
        <v>45328</v>
      </c>
      <c r="C145" t="s">
        <v>208</v>
      </c>
      <c r="D145" t="s">
        <v>212</v>
      </c>
      <c r="E145" t="s">
        <v>217</v>
      </c>
      <c r="F145">
        <v>20</v>
      </c>
      <c r="G145">
        <v>112</v>
      </c>
      <c r="H145" t="str">
        <f t="shared" si="10"/>
        <v/>
      </c>
      <c r="I145" s="6">
        <f t="shared" si="11"/>
        <v>2240</v>
      </c>
      <c r="J145" s="14">
        <f t="shared" si="9"/>
        <v>336</v>
      </c>
    </row>
    <row r="146" spans="1:10" x14ac:dyDescent="0.35">
      <c r="A146" t="s">
        <v>151</v>
      </c>
      <c r="B146" s="2">
        <v>45314</v>
      </c>
      <c r="C146" t="s">
        <v>209</v>
      </c>
      <c r="D146" t="s">
        <v>214</v>
      </c>
      <c r="E146" t="s">
        <v>217</v>
      </c>
      <c r="F146">
        <v>6</v>
      </c>
      <c r="G146">
        <v>176</v>
      </c>
      <c r="H146" t="str">
        <f t="shared" si="10"/>
        <v/>
      </c>
      <c r="I146" s="6">
        <f t="shared" si="11"/>
        <v>1056</v>
      </c>
      <c r="J146" s="14">
        <f t="shared" si="9"/>
        <v>105.60000000000001</v>
      </c>
    </row>
    <row r="147" spans="1:10" x14ac:dyDescent="0.35">
      <c r="A147" t="s">
        <v>152</v>
      </c>
      <c r="B147" s="2">
        <v>45334</v>
      </c>
      <c r="C147" t="s">
        <v>208</v>
      </c>
      <c r="D147" t="s">
        <v>213</v>
      </c>
      <c r="E147" t="s">
        <v>216</v>
      </c>
      <c r="F147">
        <v>2</v>
      </c>
      <c r="G147">
        <v>75</v>
      </c>
      <c r="H147" t="str">
        <f t="shared" si="10"/>
        <v/>
      </c>
      <c r="I147" s="6">
        <f t="shared" si="11"/>
        <v>150</v>
      </c>
      <c r="J147" s="14">
        <f t="shared" si="9"/>
        <v>0</v>
      </c>
    </row>
    <row r="148" spans="1:10" x14ac:dyDescent="0.35">
      <c r="A148" t="s">
        <v>153</v>
      </c>
      <c r="B148" s="2">
        <v>45324</v>
      </c>
      <c r="C148" t="s">
        <v>210</v>
      </c>
      <c r="D148" t="s">
        <v>212</v>
      </c>
      <c r="E148" t="s">
        <v>216</v>
      </c>
      <c r="F148">
        <v>8</v>
      </c>
      <c r="G148">
        <v>246</v>
      </c>
      <c r="H148" t="str">
        <f t="shared" si="10"/>
        <v/>
      </c>
      <c r="I148" s="6">
        <f t="shared" si="11"/>
        <v>1968</v>
      </c>
      <c r="J148" s="14">
        <f t="shared" si="9"/>
        <v>196.8</v>
      </c>
    </row>
    <row r="149" spans="1:10" x14ac:dyDescent="0.35">
      <c r="A149" t="s">
        <v>154</v>
      </c>
      <c r="B149" s="2">
        <v>45292</v>
      </c>
      <c r="C149" t="s">
        <v>208</v>
      </c>
      <c r="D149" t="s">
        <v>212</v>
      </c>
      <c r="E149" t="s">
        <v>215</v>
      </c>
      <c r="F149">
        <v>20</v>
      </c>
      <c r="G149">
        <v>264</v>
      </c>
      <c r="H149" t="str">
        <f t="shared" si="10"/>
        <v/>
      </c>
      <c r="I149" s="6">
        <f t="shared" si="11"/>
        <v>5280</v>
      </c>
      <c r="J149" s="14">
        <f t="shared" si="9"/>
        <v>792</v>
      </c>
    </row>
    <row r="150" spans="1:10" x14ac:dyDescent="0.35">
      <c r="A150" t="s">
        <v>155</v>
      </c>
      <c r="B150" s="2">
        <v>45344</v>
      </c>
      <c r="C150" t="s">
        <v>210</v>
      </c>
      <c r="D150" t="s">
        <v>211</v>
      </c>
      <c r="E150" t="s">
        <v>217</v>
      </c>
      <c r="F150">
        <v>15</v>
      </c>
      <c r="G150">
        <v>493</v>
      </c>
      <c r="H150" t="str">
        <f t="shared" si="10"/>
        <v/>
      </c>
      <c r="I150" s="6">
        <f t="shared" si="11"/>
        <v>7395</v>
      </c>
      <c r="J150" s="14">
        <f t="shared" si="9"/>
        <v>1109.25</v>
      </c>
    </row>
    <row r="151" spans="1:10" x14ac:dyDescent="0.35">
      <c r="A151" t="s">
        <v>156</v>
      </c>
      <c r="B151" s="2">
        <v>45319</v>
      </c>
      <c r="C151" t="s">
        <v>210</v>
      </c>
      <c r="D151" t="s">
        <v>213</v>
      </c>
      <c r="E151" t="s">
        <v>216</v>
      </c>
      <c r="F151">
        <v>8</v>
      </c>
      <c r="G151">
        <v>466</v>
      </c>
      <c r="H151" t="str">
        <f t="shared" si="10"/>
        <v/>
      </c>
      <c r="I151" s="6">
        <f t="shared" si="11"/>
        <v>3728</v>
      </c>
      <c r="J151" s="14">
        <f t="shared" si="9"/>
        <v>559.19999999999993</v>
      </c>
    </row>
    <row r="152" spans="1:10" x14ac:dyDescent="0.35">
      <c r="A152" t="s">
        <v>157</v>
      </c>
      <c r="B152" s="2">
        <v>45332</v>
      </c>
      <c r="C152" t="s">
        <v>208</v>
      </c>
      <c r="D152" t="s">
        <v>212</v>
      </c>
      <c r="E152" t="s">
        <v>215</v>
      </c>
      <c r="F152">
        <v>16</v>
      </c>
      <c r="G152">
        <v>345</v>
      </c>
      <c r="H152" t="str">
        <f t="shared" si="10"/>
        <v/>
      </c>
      <c r="I152" s="6">
        <f t="shared" si="11"/>
        <v>5520</v>
      </c>
      <c r="J152" s="14">
        <f t="shared" si="9"/>
        <v>828</v>
      </c>
    </row>
    <row r="153" spans="1:10" x14ac:dyDescent="0.35">
      <c r="A153" t="s">
        <v>158</v>
      </c>
      <c r="B153" s="2">
        <v>45321</v>
      </c>
      <c r="C153" t="s">
        <v>209</v>
      </c>
      <c r="D153" t="s">
        <v>214</v>
      </c>
      <c r="E153" t="s">
        <v>216</v>
      </c>
      <c r="F153">
        <v>7</v>
      </c>
      <c r="G153">
        <v>147</v>
      </c>
      <c r="H153" t="str">
        <f t="shared" si="10"/>
        <v/>
      </c>
      <c r="I153" s="6">
        <f t="shared" si="11"/>
        <v>1029</v>
      </c>
      <c r="J153" s="14">
        <f t="shared" si="9"/>
        <v>102.9</v>
      </c>
    </row>
    <row r="154" spans="1:10" x14ac:dyDescent="0.35">
      <c r="A154" t="s">
        <v>159</v>
      </c>
      <c r="B154" s="2">
        <v>45319</v>
      </c>
      <c r="C154" t="s">
        <v>207</v>
      </c>
      <c r="D154" t="s">
        <v>214</v>
      </c>
      <c r="E154" t="s">
        <v>215</v>
      </c>
      <c r="F154">
        <v>19</v>
      </c>
      <c r="G154">
        <v>305</v>
      </c>
      <c r="H154" t="str">
        <f t="shared" si="10"/>
        <v/>
      </c>
      <c r="I154" s="6">
        <f t="shared" si="11"/>
        <v>5795</v>
      </c>
      <c r="J154" s="14">
        <f t="shared" si="9"/>
        <v>869.25</v>
      </c>
    </row>
    <row r="155" spans="1:10" x14ac:dyDescent="0.35">
      <c r="A155" t="s">
        <v>160</v>
      </c>
      <c r="B155" s="2">
        <v>45325</v>
      </c>
      <c r="C155" t="s">
        <v>210</v>
      </c>
      <c r="D155" t="s">
        <v>214</v>
      </c>
      <c r="E155" t="s">
        <v>216</v>
      </c>
      <c r="F155">
        <v>15</v>
      </c>
      <c r="G155">
        <v>289</v>
      </c>
      <c r="H155" t="str">
        <f t="shared" si="10"/>
        <v/>
      </c>
      <c r="I155" s="6">
        <f t="shared" si="11"/>
        <v>4335</v>
      </c>
      <c r="J155" s="14">
        <f t="shared" si="9"/>
        <v>650.25</v>
      </c>
    </row>
    <row r="156" spans="1:10" x14ac:dyDescent="0.35">
      <c r="A156" t="s">
        <v>161</v>
      </c>
      <c r="B156" s="2">
        <v>45309</v>
      </c>
      <c r="C156" t="s">
        <v>208</v>
      </c>
      <c r="D156" t="s">
        <v>214</v>
      </c>
      <c r="E156" t="s">
        <v>216</v>
      </c>
      <c r="F156">
        <v>13</v>
      </c>
      <c r="G156">
        <v>207</v>
      </c>
      <c r="H156" t="str">
        <f t="shared" si="10"/>
        <v/>
      </c>
      <c r="I156" s="6">
        <f t="shared" si="11"/>
        <v>2691</v>
      </c>
      <c r="J156" s="14">
        <f t="shared" si="9"/>
        <v>403.65</v>
      </c>
    </row>
    <row r="157" spans="1:10" x14ac:dyDescent="0.35">
      <c r="A157" t="s">
        <v>162</v>
      </c>
      <c r="B157" s="2">
        <v>45350</v>
      </c>
      <c r="C157" t="s">
        <v>207</v>
      </c>
      <c r="D157" t="s">
        <v>214</v>
      </c>
      <c r="E157" t="s">
        <v>216</v>
      </c>
      <c r="F157">
        <v>14</v>
      </c>
      <c r="G157">
        <v>96</v>
      </c>
      <c r="H157" t="str">
        <f t="shared" si="10"/>
        <v/>
      </c>
      <c r="I157" s="6">
        <f t="shared" si="11"/>
        <v>1344</v>
      </c>
      <c r="J157" s="14">
        <f t="shared" si="9"/>
        <v>134.4</v>
      </c>
    </row>
    <row r="158" spans="1:10" x14ac:dyDescent="0.35">
      <c r="A158" t="s">
        <v>163</v>
      </c>
      <c r="B158" s="2">
        <v>45322</v>
      </c>
      <c r="C158" t="s">
        <v>208</v>
      </c>
      <c r="D158" t="s">
        <v>211</v>
      </c>
      <c r="E158" t="s">
        <v>217</v>
      </c>
      <c r="F158">
        <v>7</v>
      </c>
      <c r="G158">
        <v>308</v>
      </c>
      <c r="H158" t="str">
        <f t="shared" si="10"/>
        <v/>
      </c>
      <c r="I158" s="6">
        <f t="shared" si="11"/>
        <v>2156</v>
      </c>
      <c r="J158" s="14">
        <f t="shared" si="9"/>
        <v>323.39999999999998</v>
      </c>
    </row>
    <row r="159" spans="1:10" x14ac:dyDescent="0.35">
      <c r="A159" t="s">
        <v>164</v>
      </c>
      <c r="B159" s="2">
        <v>45344</v>
      </c>
      <c r="C159" t="s">
        <v>210</v>
      </c>
      <c r="D159" t="s">
        <v>212</v>
      </c>
      <c r="E159" t="s">
        <v>217</v>
      </c>
      <c r="F159">
        <v>5</v>
      </c>
      <c r="G159">
        <v>173</v>
      </c>
      <c r="H159" t="str">
        <f t="shared" si="10"/>
        <v/>
      </c>
      <c r="I159" s="6">
        <f t="shared" si="11"/>
        <v>865</v>
      </c>
      <c r="J159" s="14">
        <f t="shared" si="9"/>
        <v>0</v>
      </c>
    </row>
    <row r="160" spans="1:10" x14ac:dyDescent="0.35">
      <c r="A160" t="s">
        <v>165</v>
      </c>
      <c r="B160" s="2">
        <v>45309</v>
      </c>
      <c r="C160" t="s">
        <v>207</v>
      </c>
      <c r="D160" t="s">
        <v>214</v>
      </c>
      <c r="E160" t="s">
        <v>216</v>
      </c>
      <c r="F160">
        <v>2</v>
      </c>
      <c r="G160">
        <v>230</v>
      </c>
      <c r="H160" t="str">
        <f t="shared" si="10"/>
        <v/>
      </c>
      <c r="I160" s="6">
        <f t="shared" si="11"/>
        <v>460</v>
      </c>
      <c r="J160" s="14">
        <f t="shared" si="9"/>
        <v>0</v>
      </c>
    </row>
    <row r="161" spans="1:10" x14ac:dyDescent="0.35">
      <c r="A161" t="s">
        <v>166</v>
      </c>
      <c r="B161" s="2">
        <v>45307</v>
      </c>
      <c r="C161" t="s">
        <v>208</v>
      </c>
      <c r="D161" t="s">
        <v>211</v>
      </c>
      <c r="E161" t="s">
        <v>215</v>
      </c>
      <c r="F161">
        <v>12</v>
      </c>
      <c r="H161" t="str">
        <f t="shared" si="10"/>
        <v>Check Quantity/Price</v>
      </c>
      <c r="I161" s="6">
        <f t="shared" si="11"/>
        <v>0</v>
      </c>
      <c r="J161" s="14">
        <f t="shared" si="9"/>
        <v>0</v>
      </c>
    </row>
    <row r="162" spans="1:10" x14ac:dyDescent="0.35">
      <c r="A162" t="s">
        <v>167</v>
      </c>
      <c r="B162" s="2">
        <v>45297</v>
      </c>
      <c r="C162" t="s">
        <v>209</v>
      </c>
      <c r="D162" t="s">
        <v>214</v>
      </c>
      <c r="E162" t="s">
        <v>215</v>
      </c>
      <c r="F162">
        <v>4</v>
      </c>
      <c r="G162">
        <v>355</v>
      </c>
      <c r="H162" t="str">
        <f t="shared" si="10"/>
        <v/>
      </c>
      <c r="I162" s="6">
        <f t="shared" si="11"/>
        <v>1420</v>
      </c>
      <c r="J162" s="14">
        <f t="shared" ref="J162:J193" si="12">IF(I162&gt;=2000, I162*0.15, IF(I162&gt;=1000, I162*0.1, 0))</f>
        <v>142</v>
      </c>
    </row>
    <row r="163" spans="1:10" x14ac:dyDescent="0.35">
      <c r="A163" t="s">
        <v>168</v>
      </c>
      <c r="B163" s="2">
        <v>45320</v>
      </c>
      <c r="C163" t="s">
        <v>209</v>
      </c>
      <c r="D163" t="s">
        <v>211</v>
      </c>
      <c r="E163" t="s">
        <v>217</v>
      </c>
      <c r="F163">
        <v>17</v>
      </c>
      <c r="G163">
        <v>384</v>
      </c>
      <c r="H163" t="str">
        <f t="shared" si="10"/>
        <v/>
      </c>
      <c r="I163" s="6">
        <f t="shared" si="11"/>
        <v>6528</v>
      </c>
      <c r="J163" s="14">
        <f t="shared" si="12"/>
        <v>979.19999999999993</v>
      </c>
    </row>
    <row r="164" spans="1:10" x14ac:dyDescent="0.35">
      <c r="A164" t="s">
        <v>169</v>
      </c>
      <c r="B164" s="2">
        <v>45321</v>
      </c>
      <c r="C164" t="s">
        <v>208</v>
      </c>
      <c r="D164" t="s">
        <v>214</v>
      </c>
      <c r="E164" t="s">
        <v>217</v>
      </c>
      <c r="F164">
        <v>10</v>
      </c>
      <c r="G164">
        <v>196</v>
      </c>
      <c r="H164" t="str">
        <f t="shared" si="10"/>
        <v/>
      </c>
      <c r="I164" s="6">
        <f t="shared" si="11"/>
        <v>1960</v>
      </c>
      <c r="J164" s="14">
        <f t="shared" si="12"/>
        <v>196</v>
      </c>
    </row>
    <row r="165" spans="1:10" x14ac:dyDescent="0.35">
      <c r="A165" t="s">
        <v>170</v>
      </c>
      <c r="B165" s="2">
        <v>45334</v>
      </c>
      <c r="C165" t="s">
        <v>209</v>
      </c>
      <c r="D165" t="s">
        <v>212</v>
      </c>
      <c r="E165" t="s">
        <v>217</v>
      </c>
      <c r="G165">
        <v>483</v>
      </c>
      <c r="H165" t="str">
        <f t="shared" si="10"/>
        <v>Check Quantity/Price</v>
      </c>
      <c r="I165" s="6">
        <f t="shared" si="11"/>
        <v>0</v>
      </c>
      <c r="J165" s="14">
        <f t="shared" si="12"/>
        <v>0</v>
      </c>
    </row>
    <row r="166" spans="1:10" x14ac:dyDescent="0.35">
      <c r="A166" t="s">
        <v>171</v>
      </c>
      <c r="B166" s="2">
        <v>45293</v>
      </c>
      <c r="C166" t="s">
        <v>210</v>
      </c>
      <c r="D166" t="s">
        <v>214</v>
      </c>
      <c r="E166" t="s">
        <v>216</v>
      </c>
      <c r="F166">
        <v>15</v>
      </c>
      <c r="G166">
        <v>118</v>
      </c>
      <c r="H166" t="str">
        <f t="shared" si="10"/>
        <v/>
      </c>
      <c r="I166" s="6">
        <f t="shared" si="11"/>
        <v>1770</v>
      </c>
      <c r="J166" s="14">
        <f t="shared" si="12"/>
        <v>177</v>
      </c>
    </row>
    <row r="167" spans="1:10" x14ac:dyDescent="0.35">
      <c r="A167" t="s">
        <v>172</v>
      </c>
      <c r="B167" s="2">
        <v>45312</v>
      </c>
      <c r="C167" t="s">
        <v>210</v>
      </c>
      <c r="D167" t="s">
        <v>213</v>
      </c>
      <c r="E167" t="s">
        <v>215</v>
      </c>
      <c r="F167">
        <v>5</v>
      </c>
      <c r="G167">
        <v>422</v>
      </c>
      <c r="H167" t="str">
        <f t="shared" si="10"/>
        <v/>
      </c>
      <c r="I167" s="6">
        <f t="shared" si="11"/>
        <v>2110</v>
      </c>
      <c r="J167" s="14">
        <f t="shared" si="12"/>
        <v>316.5</v>
      </c>
    </row>
    <row r="168" spans="1:10" x14ac:dyDescent="0.35">
      <c r="A168" t="s">
        <v>173</v>
      </c>
      <c r="B168" s="2">
        <v>45305</v>
      </c>
      <c r="C168" t="s">
        <v>210</v>
      </c>
      <c r="D168" t="s">
        <v>214</v>
      </c>
      <c r="E168" t="s">
        <v>217</v>
      </c>
      <c r="F168">
        <v>3</v>
      </c>
      <c r="G168">
        <v>256</v>
      </c>
      <c r="H168" t="str">
        <f t="shared" si="10"/>
        <v/>
      </c>
      <c r="I168" s="6">
        <f t="shared" si="11"/>
        <v>768</v>
      </c>
      <c r="J168" s="14">
        <f t="shared" si="12"/>
        <v>0</v>
      </c>
    </row>
    <row r="169" spans="1:10" x14ac:dyDescent="0.35">
      <c r="A169" t="s">
        <v>174</v>
      </c>
      <c r="B169" s="2">
        <v>45308</v>
      </c>
      <c r="C169" t="s">
        <v>209</v>
      </c>
      <c r="D169" t="s">
        <v>214</v>
      </c>
      <c r="E169" t="s">
        <v>216</v>
      </c>
      <c r="F169">
        <v>8</v>
      </c>
      <c r="G169">
        <v>255</v>
      </c>
      <c r="H169" t="str">
        <f t="shared" si="10"/>
        <v/>
      </c>
      <c r="I169" s="6">
        <f t="shared" si="11"/>
        <v>2040</v>
      </c>
      <c r="J169" s="14">
        <f t="shared" si="12"/>
        <v>306</v>
      </c>
    </row>
    <row r="170" spans="1:10" x14ac:dyDescent="0.35">
      <c r="A170" t="s">
        <v>175</v>
      </c>
      <c r="B170" s="2">
        <v>45348</v>
      </c>
      <c r="C170" t="s">
        <v>208</v>
      </c>
      <c r="D170" t="s">
        <v>213</v>
      </c>
      <c r="E170" t="s">
        <v>217</v>
      </c>
      <c r="F170">
        <v>12</v>
      </c>
      <c r="G170">
        <v>337</v>
      </c>
      <c r="H170" t="str">
        <f t="shared" si="10"/>
        <v/>
      </c>
      <c r="I170" s="6">
        <f t="shared" si="11"/>
        <v>4044</v>
      </c>
      <c r="J170" s="14">
        <f t="shared" si="12"/>
        <v>606.6</v>
      </c>
    </row>
    <row r="171" spans="1:10" x14ac:dyDescent="0.35">
      <c r="A171" t="s">
        <v>176</v>
      </c>
      <c r="B171" s="2">
        <v>45348</v>
      </c>
      <c r="C171" t="s">
        <v>209</v>
      </c>
      <c r="D171" t="s">
        <v>213</v>
      </c>
      <c r="E171" t="s">
        <v>215</v>
      </c>
      <c r="F171">
        <v>14</v>
      </c>
      <c r="G171">
        <v>333</v>
      </c>
      <c r="H171" t="str">
        <f t="shared" si="10"/>
        <v/>
      </c>
      <c r="I171" s="6">
        <f t="shared" si="11"/>
        <v>4662</v>
      </c>
      <c r="J171" s="14">
        <f t="shared" si="12"/>
        <v>699.3</v>
      </c>
    </row>
    <row r="172" spans="1:10" x14ac:dyDescent="0.35">
      <c r="A172" t="s">
        <v>177</v>
      </c>
      <c r="B172" s="2">
        <v>45292</v>
      </c>
      <c r="C172" t="s">
        <v>209</v>
      </c>
      <c r="D172" t="s">
        <v>214</v>
      </c>
      <c r="E172" t="s">
        <v>215</v>
      </c>
      <c r="G172">
        <v>247</v>
      </c>
      <c r="H172" t="str">
        <f t="shared" si="10"/>
        <v>Check Quantity/Price</v>
      </c>
      <c r="I172" s="6">
        <f t="shared" si="11"/>
        <v>0</v>
      </c>
      <c r="J172" s="14">
        <f t="shared" si="12"/>
        <v>0</v>
      </c>
    </row>
    <row r="173" spans="1:10" x14ac:dyDescent="0.35">
      <c r="A173" t="s">
        <v>178</v>
      </c>
      <c r="B173" s="2">
        <v>45304</v>
      </c>
      <c r="C173" t="s">
        <v>207</v>
      </c>
      <c r="D173" t="s">
        <v>214</v>
      </c>
      <c r="E173" t="s">
        <v>217</v>
      </c>
      <c r="F173">
        <v>8</v>
      </c>
      <c r="G173">
        <v>441</v>
      </c>
      <c r="H173" t="str">
        <f t="shared" si="10"/>
        <v/>
      </c>
      <c r="I173" s="6">
        <f t="shared" si="11"/>
        <v>3528</v>
      </c>
      <c r="J173" s="14">
        <f t="shared" si="12"/>
        <v>529.19999999999993</v>
      </c>
    </row>
    <row r="174" spans="1:10" x14ac:dyDescent="0.35">
      <c r="A174" t="s">
        <v>179</v>
      </c>
      <c r="B174" s="2">
        <v>45338</v>
      </c>
      <c r="C174" t="s">
        <v>209</v>
      </c>
      <c r="D174" t="s">
        <v>213</v>
      </c>
      <c r="E174" t="s">
        <v>216</v>
      </c>
      <c r="F174">
        <v>3</v>
      </c>
      <c r="G174">
        <v>472</v>
      </c>
      <c r="H174" t="str">
        <f t="shared" si="10"/>
        <v/>
      </c>
      <c r="I174" s="6">
        <f t="shared" si="11"/>
        <v>1416</v>
      </c>
      <c r="J174" s="14">
        <f t="shared" si="12"/>
        <v>141.6</v>
      </c>
    </row>
    <row r="175" spans="1:10" x14ac:dyDescent="0.35">
      <c r="A175" t="s">
        <v>180</v>
      </c>
      <c r="B175" s="2">
        <v>45327</v>
      </c>
      <c r="C175" t="s">
        <v>208</v>
      </c>
      <c r="D175" t="s">
        <v>211</v>
      </c>
      <c r="E175" t="s">
        <v>215</v>
      </c>
      <c r="F175">
        <v>1</v>
      </c>
      <c r="G175">
        <v>398</v>
      </c>
      <c r="H175" t="str">
        <f t="shared" si="10"/>
        <v/>
      </c>
      <c r="I175" s="6">
        <f t="shared" si="11"/>
        <v>398</v>
      </c>
      <c r="J175" s="14">
        <f t="shared" si="12"/>
        <v>0</v>
      </c>
    </row>
    <row r="176" spans="1:10" x14ac:dyDescent="0.35">
      <c r="A176" t="s">
        <v>181</v>
      </c>
      <c r="B176" s="2">
        <v>45336</v>
      </c>
      <c r="C176" t="s">
        <v>208</v>
      </c>
      <c r="D176" t="s">
        <v>211</v>
      </c>
      <c r="E176" t="s">
        <v>215</v>
      </c>
      <c r="F176">
        <v>4</v>
      </c>
      <c r="G176">
        <v>115</v>
      </c>
      <c r="H176" t="str">
        <f t="shared" si="10"/>
        <v/>
      </c>
      <c r="I176" s="6">
        <f t="shared" si="11"/>
        <v>460</v>
      </c>
      <c r="J176" s="14">
        <f t="shared" si="12"/>
        <v>0</v>
      </c>
    </row>
    <row r="177" spans="1:10" x14ac:dyDescent="0.35">
      <c r="A177" t="s">
        <v>182</v>
      </c>
      <c r="B177" s="2">
        <v>45337</v>
      </c>
      <c r="C177" t="s">
        <v>209</v>
      </c>
      <c r="D177" t="s">
        <v>214</v>
      </c>
      <c r="E177" t="s">
        <v>215</v>
      </c>
      <c r="F177">
        <v>11</v>
      </c>
      <c r="G177">
        <v>251</v>
      </c>
      <c r="H177" t="str">
        <f t="shared" si="10"/>
        <v/>
      </c>
      <c r="I177" s="6">
        <f t="shared" si="11"/>
        <v>2761</v>
      </c>
      <c r="J177" s="14">
        <f t="shared" si="12"/>
        <v>414.15</v>
      </c>
    </row>
    <row r="178" spans="1:10" x14ac:dyDescent="0.35">
      <c r="A178" t="s">
        <v>183</v>
      </c>
      <c r="B178" s="2">
        <v>45342</v>
      </c>
      <c r="C178" t="s">
        <v>207</v>
      </c>
      <c r="D178" t="s">
        <v>212</v>
      </c>
      <c r="E178" t="s">
        <v>217</v>
      </c>
      <c r="F178">
        <v>5</v>
      </c>
      <c r="G178">
        <v>223</v>
      </c>
      <c r="H178" t="str">
        <f t="shared" si="10"/>
        <v/>
      </c>
      <c r="I178" s="6">
        <f t="shared" si="11"/>
        <v>1115</v>
      </c>
      <c r="J178" s="14">
        <f t="shared" si="12"/>
        <v>111.5</v>
      </c>
    </row>
    <row r="179" spans="1:10" x14ac:dyDescent="0.35">
      <c r="A179" t="s">
        <v>184</v>
      </c>
      <c r="B179" s="2">
        <f>IF(AND(B178&lt;&gt;"", B180&lt;&gt;""), (B178 + B180) / 2, "")</f>
        <v>45329.5</v>
      </c>
      <c r="C179" t="s">
        <v>209</v>
      </c>
      <c r="D179" t="s">
        <v>211</v>
      </c>
      <c r="E179" t="s">
        <v>216</v>
      </c>
      <c r="G179">
        <v>237</v>
      </c>
      <c r="H179" t="str">
        <f t="shared" si="10"/>
        <v>Check Quantity/Price</v>
      </c>
      <c r="I179" s="6">
        <f t="shared" si="11"/>
        <v>0</v>
      </c>
      <c r="J179" s="14">
        <f t="shared" si="12"/>
        <v>0</v>
      </c>
    </row>
    <row r="180" spans="1:10" x14ac:dyDescent="0.35">
      <c r="A180" t="s">
        <v>185</v>
      </c>
      <c r="B180" s="2">
        <v>45317</v>
      </c>
      <c r="C180" t="s">
        <v>210</v>
      </c>
      <c r="D180" t="s">
        <v>214</v>
      </c>
      <c r="E180" t="s">
        <v>216</v>
      </c>
      <c r="F180">
        <v>16</v>
      </c>
      <c r="G180">
        <v>151</v>
      </c>
      <c r="H180" t="str">
        <f t="shared" si="10"/>
        <v/>
      </c>
      <c r="I180" s="6">
        <f t="shared" si="11"/>
        <v>2416</v>
      </c>
      <c r="J180" s="14">
        <f t="shared" si="12"/>
        <v>362.4</v>
      </c>
    </row>
    <row r="181" spans="1:10" x14ac:dyDescent="0.35">
      <c r="A181" t="s">
        <v>186</v>
      </c>
      <c r="B181" s="2">
        <v>45311</v>
      </c>
      <c r="C181" t="s">
        <v>209</v>
      </c>
      <c r="D181" t="s">
        <v>214</v>
      </c>
      <c r="E181" t="s">
        <v>216</v>
      </c>
      <c r="F181">
        <v>5</v>
      </c>
      <c r="G181">
        <v>255</v>
      </c>
      <c r="H181" t="str">
        <f t="shared" si="10"/>
        <v/>
      </c>
      <c r="I181" s="6">
        <f t="shared" si="11"/>
        <v>1275</v>
      </c>
      <c r="J181" s="14">
        <f t="shared" si="12"/>
        <v>127.5</v>
      </c>
    </row>
    <row r="182" spans="1:10" x14ac:dyDescent="0.35">
      <c r="A182" t="s">
        <v>187</v>
      </c>
      <c r="B182" s="2">
        <v>45315</v>
      </c>
      <c r="C182" t="s">
        <v>208</v>
      </c>
      <c r="D182" t="s">
        <v>213</v>
      </c>
      <c r="E182" t="s">
        <v>216</v>
      </c>
      <c r="F182">
        <v>16</v>
      </c>
      <c r="G182">
        <v>73</v>
      </c>
      <c r="H182" t="str">
        <f t="shared" si="10"/>
        <v/>
      </c>
      <c r="I182" s="6">
        <f t="shared" si="11"/>
        <v>1168</v>
      </c>
      <c r="J182" s="14">
        <f t="shared" si="12"/>
        <v>116.80000000000001</v>
      </c>
    </row>
    <row r="183" spans="1:10" x14ac:dyDescent="0.35">
      <c r="A183" t="s">
        <v>188</v>
      </c>
      <c r="B183" s="2">
        <v>45325</v>
      </c>
      <c r="C183" t="s">
        <v>207</v>
      </c>
      <c r="D183" t="s">
        <v>211</v>
      </c>
      <c r="E183" t="s">
        <v>216</v>
      </c>
      <c r="F183">
        <v>1</v>
      </c>
      <c r="H183" t="str">
        <f t="shared" si="10"/>
        <v>Check Quantity/Price</v>
      </c>
      <c r="I183" s="6">
        <f t="shared" si="11"/>
        <v>0</v>
      </c>
      <c r="J183" s="14">
        <f t="shared" si="12"/>
        <v>0</v>
      </c>
    </row>
    <row r="184" spans="1:10" x14ac:dyDescent="0.35">
      <c r="A184" t="s">
        <v>189</v>
      </c>
      <c r="B184" s="2">
        <v>45339</v>
      </c>
      <c r="C184" t="s">
        <v>208</v>
      </c>
      <c r="D184" t="s">
        <v>214</v>
      </c>
      <c r="E184" t="s">
        <v>217</v>
      </c>
      <c r="F184">
        <v>1</v>
      </c>
      <c r="G184">
        <v>461</v>
      </c>
      <c r="H184" t="str">
        <f t="shared" si="10"/>
        <v/>
      </c>
      <c r="I184" s="6">
        <f t="shared" si="11"/>
        <v>461</v>
      </c>
      <c r="J184" s="14">
        <f t="shared" si="12"/>
        <v>0</v>
      </c>
    </row>
    <row r="185" spans="1:10" x14ac:dyDescent="0.35">
      <c r="A185" t="s">
        <v>190</v>
      </c>
      <c r="B185" s="2">
        <v>45314</v>
      </c>
      <c r="C185" t="s">
        <v>209</v>
      </c>
      <c r="D185" t="s">
        <v>214</v>
      </c>
      <c r="E185" t="s">
        <v>217</v>
      </c>
      <c r="F185">
        <v>5</v>
      </c>
      <c r="G185">
        <v>283</v>
      </c>
      <c r="H185" t="str">
        <f t="shared" si="10"/>
        <v/>
      </c>
      <c r="I185" s="6">
        <f t="shared" si="11"/>
        <v>1415</v>
      </c>
      <c r="J185" s="14">
        <f t="shared" si="12"/>
        <v>141.5</v>
      </c>
    </row>
    <row r="186" spans="1:10" x14ac:dyDescent="0.35">
      <c r="A186" t="s">
        <v>191</v>
      </c>
      <c r="B186" s="2">
        <v>45309</v>
      </c>
      <c r="C186" t="s">
        <v>207</v>
      </c>
      <c r="D186" t="s">
        <v>212</v>
      </c>
      <c r="E186" t="s">
        <v>216</v>
      </c>
      <c r="F186">
        <v>20</v>
      </c>
      <c r="G186">
        <v>313</v>
      </c>
      <c r="H186" t="str">
        <f t="shared" si="10"/>
        <v/>
      </c>
      <c r="I186" s="6">
        <f t="shared" si="11"/>
        <v>6260</v>
      </c>
      <c r="J186" s="14">
        <f t="shared" si="12"/>
        <v>939</v>
      </c>
    </row>
    <row r="187" spans="1:10" x14ac:dyDescent="0.35">
      <c r="A187" t="s">
        <v>192</v>
      </c>
      <c r="B187" s="2">
        <v>45306</v>
      </c>
      <c r="C187" t="s">
        <v>210</v>
      </c>
      <c r="D187" t="s">
        <v>213</v>
      </c>
      <c r="E187" t="s">
        <v>216</v>
      </c>
      <c r="F187">
        <v>4</v>
      </c>
      <c r="G187">
        <v>363</v>
      </c>
      <c r="H187" t="str">
        <f t="shared" si="10"/>
        <v/>
      </c>
      <c r="I187" s="6">
        <f t="shared" si="11"/>
        <v>1452</v>
      </c>
      <c r="J187" s="14">
        <f t="shared" si="12"/>
        <v>145.20000000000002</v>
      </c>
    </row>
    <row r="188" spans="1:10" x14ac:dyDescent="0.35">
      <c r="A188" t="s">
        <v>193</v>
      </c>
      <c r="B188" s="2">
        <v>45304</v>
      </c>
      <c r="C188" t="s">
        <v>209</v>
      </c>
      <c r="D188" t="s">
        <v>213</v>
      </c>
      <c r="E188" t="s">
        <v>217</v>
      </c>
      <c r="F188">
        <v>8</v>
      </c>
      <c r="G188">
        <v>251</v>
      </c>
      <c r="H188" t="str">
        <f t="shared" si="10"/>
        <v/>
      </c>
      <c r="I188" s="6">
        <f t="shared" si="11"/>
        <v>2008</v>
      </c>
      <c r="J188" s="14">
        <f t="shared" si="12"/>
        <v>301.2</v>
      </c>
    </row>
    <row r="189" spans="1:10" x14ac:dyDescent="0.35">
      <c r="A189" t="s">
        <v>194</v>
      </c>
      <c r="B189" s="2">
        <v>45339</v>
      </c>
      <c r="C189" t="s">
        <v>207</v>
      </c>
      <c r="D189" t="s">
        <v>213</v>
      </c>
      <c r="E189" t="s">
        <v>217</v>
      </c>
      <c r="F189">
        <v>2</v>
      </c>
      <c r="G189">
        <v>428</v>
      </c>
      <c r="H189" t="str">
        <f t="shared" si="10"/>
        <v/>
      </c>
      <c r="I189" s="6">
        <f t="shared" si="11"/>
        <v>856</v>
      </c>
      <c r="J189" s="14">
        <f t="shared" si="12"/>
        <v>0</v>
      </c>
    </row>
    <row r="190" spans="1:10" x14ac:dyDescent="0.35">
      <c r="A190" t="s">
        <v>195</v>
      </c>
      <c r="B190" s="2">
        <v>45340</v>
      </c>
      <c r="C190" t="s">
        <v>210</v>
      </c>
      <c r="D190" t="s">
        <v>214</v>
      </c>
      <c r="E190" t="s">
        <v>216</v>
      </c>
      <c r="F190">
        <v>20</v>
      </c>
      <c r="G190">
        <v>353</v>
      </c>
      <c r="H190" t="str">
        <f t="shared" si="10"/>
        <v/>
      </c>
      <c r="I190" s="6">
        <f t="shared" si="11"/>
        <v>7060</v>
      </c>
      <c r="J190" s="14">
        <f t="shared" si="12"/>
        <v>1059</v>
      </c>
    </row>
    <row r="191" spans="1:10" x14ac:dyDescent="0.35">
      <c r="A191" t="s">
        <v>196</v>
      </c>
      <c r="B191" s="2">
        <v>45304</v>
      </c>
      <c r="C191" t="s">
        <v>208</v>
      </c>
      <c r="D191" t="s">
        <v>214</v>
      </c>
      <c r="E191" t="s">
        <v>216</v>
      </c>
      <c r="F191">
        <v>4</v>
      </c>
      <c r="G191">
        <v>474</v>
      </c>
      <c r="H191" t="str">
        <f t="shared" si="10"/>
        <v/>
      </c>
      <c r="I191" s="6">
        <f t="shared" si="11"/>
        <v>1896</v>
      </c>
      <c r="J191" s="14">
        <f t="shared" si="12"/>
        <v>189.60000000000002</v>
      </c>
    </row>
    <row r="192" spans="1:10" x14ac:dyDescent="0.35">
      <c r="A192" t="s">
        <v>197</v>
      </c>
      <c r="B192" s="2">
        <v>45322</v>
      </c>
      <c r="C192" t="s">
        <v>207</v>
      </c>
      <c r="D192" t="s">
        <v>214</v>
      </c>
      <c r="E192" t="s">
        <v>217</v>
      </c>
      <c r="F192">
        <v>16</v>
      </c>
      <c r="G192">
        <v>300</v>
      </c>
      <c r="H192" t="str">
        <f t="shared" si="10"/>
        <v/>
      </c>
      <c r="I192" s="6">
        <f t="shared" si="11"/>
        <v>4800</v>
      </c>
      <c r="J192" s="14">
        <f t="shared" si="12"/>
        <v>720</v>
      </c>
    </row>
    <row r="193" spans="1:10" x14ac:dyDescent="0.35">
      <c r="A193" t="s">
        <v>198</v>
      </c>
      <c r="B193" s="2">
        <v>45329</v>
      </c>
      <c r="C193" t="s">
        <v>208</v>
      </c>
      <c r="D193" t="s">
        <v>214</v>
      </c>
      <c r="E193" t="s">
        <v>215</v>
      </c>
      <c r="F193">
        <v>1</v>
      </c>
      <c r="G193">
        <v>203</v>
      </c>
      <c r="H193" t="str">
        <f t="shared" si="10"/>
        <v/>
      </c>
      <c r="I193" s="6">
        <f t="shared" si="11"/>
        <v>203</v>
      </c>
      <c r="J193" s="14">
        <f t="shared" si="12"/>
        <v>0</v>
      </c>
    </row>
    <row r="194" spans="1:10" x14ac:dyDescent="0.35">
      <c r="A194" t="s">
        <v>199</v>
      </c>
      <c r="B194" s="2">
        <v>45325</v>
      </c>
      <c r="C194" t="s">
        <v>209</v>
      </c>
      <c r="D194" t="s">
        <v>214</v>
      </c>
      <c r="E194" t="s">
        <v>216</v>
      </c>
      <c r="F194">
        <v>19</v>
      </c>
      <c r="G194">
        <v>58</v>
      </c>
      <c r="H194" t="str">
        <f t="shared" si="10"/>
        <v/>
      </c>
      <c r="I194" s="6">
        <f t="shared" si="11"/>
        <v>1102</v>
      </c>
      <c r="J194" s="14">
        <f t="shared" ref="J194:J201" si="13">IF(I194&gt;=2000, I194*0.15, IF(I194&gt;=1000, I194*0.1, 0))</f>
        <v>110.2</v>
      </c>
    </row>
    <row r="195" spans="1:10" x14ac:dyDescent="0.35">
      <c r="A195" t="s">
        <v>200</v>
      </c>
      <c r="B195" s="2">
        <v>45298</v>
      </c>
      <c r="C195" t="s">
        <v>209</v>
      </c>
      <c r="D195" t="s">
        <v>213</v>
      </c>
      <c r="E195" t="s">
        <v>215</v>
      </c>
      <c r="F195">
        <v>5</v>
      </c>
      <c r="G195">
        <v>394</v>
      </c>
      <c r="H195" t="str">
        <f t="shared" ref="H195:H201" si="14">IF(OR(ISBLANK(F195), F195=0, ISBLANK(G195), G195=0), "Check Quantity/Price", "")</f>
        <v/>
      </c>
      <c r="I195" s="6">
        <f t="shared" ref="I195:I201" si="15">IF(AND(F195&lt;&gt;0, F195&lt;&gt;"", G195&lt;&gt;0, G195&lt;&gt;""), F195 * G195, 0)</f>
        <v>1970</v>
      </c>
      <c r="J195" s="14">
        <f t="shared" si="13"/>
        <v>197</v>
      </c>
    </row>
    <row r="196" spans="1:10" x14ac:dyDescent="0.35">
      <c r="A196" t="s">
        <v>201</v>
      </c>
      <c r="B196" s="2">
        <v>45310</v>
      </c>
      <c r="C196" t="s">
        <v>207</v>
      </c>
      <c r="D196" t="s">
        <v>214</v>
      </c>
      <c r="E196" t="s">
        <v>216</v>
      </c>
      <c r="F196">
        <v>1</v>
      </c>
      <c r="G196">
        <v>263</v>
      </c>
      <c r="H196" t="str">
        <f t="shared" si="14"/>
        <v/>
      </c>
      <c r="I196" s="6">
        <f t="shared" si="15"/>
        <v>263</v>
      </c>
      <c r="J196" s="14">
        <f t="shared" si="13"/>
        <v>0</v>
      </c>
    </row>
    <row r="197" spans="1:10" x14ac:dyDescent="0.35">
      <c r="A197" t="s">
        <v>202</v>
      </c>
      <c r="B197" s="2">
        <v>45303</v>
      </c>
      <c r="C197" t="s">
        <v>209</v>
      </c>
      <c r="D197" t="s">
        <v>212</v>
      </c>
      <c r="E197" t="s">
        <v>216</v>
      </c>
      <c r="F197">
        <v>8</v>
      </c>
      <c r="G197">
        <v>457</v>
      </c>
      <c r="H197" t="str">
        <f t="shared" si="14"/>
        <v/>
      </c>
      <c r="I197" s="6">
        <f t="shared" si="15"/>
        <v>3656</v>
      </c>
      <c r="J197" s="14">
        <f t="shared" si="13"/>
        <v>548.4</v>
      </c>
    </row>
    <row r="198" spans="1:10" x14ac:dyDescent="0.35">
      <c r="A198" t="s">
        <v>203</v>
      </c>
      <c r="B198" s="2">
        <v>45337</v>
      </c>
      <c r="C198" t="s">
        <v>207</v>
      </c>
      <c r="D198" t="s">
        <v>214</v>
      </c>
      <c r="E198" t="s">
        <v>216</v>
      </c>
      <c r="F198">
        <v>6</v>
      </c>
      <c r="G198">
        <v>496</v>
      </c>
      <c r="H198" t="str">
        <f t="shared" si="14"/>
        <v/>
      </c>
      <c r="I198" s="6">
        <f t="shared" si="15"/>
        <v>2976</v>
      </c>
      <c r="J198" s="14">
        <f t="shared" si="13"/>
        <v>446.4</v>
      </c>
    </row>
    <row r="199" spans="1:10" x14ac:dyDescent="0.35">
      <c r="A199" t="s">
        <v>204</v>
      </c>
      <c r="B199" s="2">
        <v>45309</v>
      </c>
      <c r="C199" t="s">
        <v>207</v>
      </c>
      <c r="D199" t="s">
        <v>214</v>
      </c>
      <c r="E199" t="s">
        <v>216</v>
      </c>
      <c r="F199">
        <v>3</v>
      </c>
      <c r="G199">
        <v>63</v>
      </c>
      <c r="H199" t="str">
        <f t="shared" si="14"/>
        <v/>
      </c>
      <c r="I199" s="6">
        <f t="shared" si="15"/>
        <v>189</v>
      </c>
      <c r="J199" s="14">
        <f t="shared" si="13"/>
        <v>0</v>
      </c>
    </row>
    <row r="200" spans="1:10" x14ac:dyDescent="0.35">
      <c r="A200" t="s">
        <v>205</v>
      </c>
      <c r="B200" s="2">
        <f>IF(AND(B199&lt;&gt;"", B201&lt;&gt;""), (B199 + B201) / 2, "")</f>
        <v>45309.5</v>
      </c>
      <c r="C200" t="s">
        <v>207</v>
      </c>
      <c r="D200" t="s">
        <v>211</v>
      </c>
      <c r="E200" t="s">
        <v>215</v>
      </c>
      <c r="F200">
        <v>12</v>
      </c>
      <c r="G200">
        <v>185</v>
      </c>
      <c r="H200" t="str">
        <f t="shared" si="14"/>
        <v/>
      </c>
      <c r="I200" s="6">
        <f t="shared" si="15"/>
        <v>2220</v>
      </c>
      <c r="J200" s="14">
        <f t="shared" si="13"/>
        <v>333</v>
      </c>
    </row>
    <row r="201" spans="1:10" x14ac:dyDescent="0.35">
      <c r="A201" t="s">
        <v>206</v>
      </c>
      <c r="B201" s="2">
        <v>45310</v>
      </c>
      <c r="C201" t="s">
        <v>210</v>
      </c>
      <c r="D201" t="s">
        <v>212</v>
      </c>
      <c r="E201" t="s">
        <v>217</v>
      </c>
      <c r="G201">
        <v>450</v>
      </c>
      <c r="H201" t="str">
        <f t="shared" si="14"/>
        <v>Check Quantity/Price</v>
      </c>
      <c r="I201" s="6">
        <f t="shared" si="15"/>
        <v>0</v>
      </c>
      <c r="J201" s="14">
        <f t="shared" si="13"/>
        <v>0</v>
      </c>
    </row>
  </sheetData>
  <conditionalFormatting sqref="J2:J201">
    <cfRule type="expression" dxfId="0" priority="1">
      <formula>J2&gt;300</formula>
    </cfRule>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3FC74-5178-4ED7-B8C8-6294D2C5D0C7}">
  <dimension ref="A3:C8"/>
  <sheetViews>
    <sheetView workbookViewId="0">
      <selection activeCell="F4" sqref="F4"/>
    </sheetView>
  </sheetViews>
  <sheetFormatPr defaultRowHeight="14.5" x14ac:dyDescent="0.35"/>
  <cols>
    <col min="1" max="1" width="13.90625" customWidth="1"/>
    <col min="2" max="2" width="16.90625" customWidth="1"/>
    <col min="3" max="3" width="48.453125" bestFit="1" customWidth="1"/>
  </cols>
  <sheetData>
    <row r="3" spans="1:3" x14ac:dyDescent="0.35">
      <c r="A3" s="7" t="s">
        <v>220</v>
      </c>
      <c r="B3" t="s">
        <v>221</v>
      </c>
    </row>
    <row r="4" spans="1:3" x14ac:dyDescent="0.35">
      <c r="A4" s="10" t="s">
        <v>209</v>
      </c>
      <c r="B4" s="11">
        <v>201184</v>
      </c>
      <c r="C4" t="s">
        <v>223</v>
      </c>
    </row>
    <row r="5" spans="1:3" x14ac:dyDescent="0.35">
      <c r="A5" s="8" t="s">
        <v>210</v>
      </c>
      <c r="B5" s="9">
        <v>65481</v>
      </c>
    </row>
    <row r="6" spans="1:3" x14ac:dyDescent="0.35">
      <c r="A6" s="8" t="s">
        <v>208</v>
      </c>
      <c r="B6" s="9">
        <v>106631</v>
      </c>
    </row>
    <row r="7" spans="1:3" x14ac:dyDescent="0.35">
      <c r="A7" s="8" t="s">
        <v>207</v>
      </c>
      <c r="B7" s="9">
        <v>125281</v>
      </c>
    </row>
    <row r="8" spans="1:3" x14ac:dyDescent="0.35">
      <c r="A8" s="8" t="s">
        <v>222</v>
      </c>
      <c r="B8" s="9">
        <v>498577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BAE7D-0E69-41FB-B7D5-0BAD28C62CB3}">
  <dimension ref="A3:C7"/>
  <sheetViews>
    <sheetView workbookViewId="0">
      <selection activeCell="F4" sqref="F4"/>
    </sheetView>
  </sheetViews>
  <sheetFormatPr defaultRowHeight="14.5" x14ac:dyDescent="0.35"/>
  <cols>
    <col min="1" max="1" width="15.08984375" customWidth="1"/>
    <col min="2" max="2" width="17.26953125" customWidth="1"/>
    <col min="3" max="3" width="35.1796875" bestFit="1" customWidth="1"/>
  </cols>
  <sheetData>
    <row r="3" spans="1:3" x14ac:dyDescent="0.35">
      <c r="A3" s="7" t="s">
        <v>220</v>
      </c>
      <c r="B3" t="s">
        <v>221</v>
      </c>
    </row>
    <row r="4" spans="1:3" x14ac:dyDescent="0.35">
      <c r="A4" s="8" t="s">
        <v>216</v>
      </c>
      <c r="B4" s="9">
        <v>157951</v>
      </c>
    </row>
    <row r="5" spans="1:3" x14ac:dyDescent="0.35">
      <c r="A5" s="8" t="s">
        <v>217</v>
      </c>
      <c r="B5" s="9">
        <v>156384</v>
      </c>
    </row>
    <row r="6" spans="1:3" x14ac:dyDescent="0.35">
      <c r="A6" s="10" t="s">
        <v>215</v>
      </c>
      <c r="B6" s="11">
        <v>184242</v>
      </c>
      <c r="C6" t="s">
        <v>224</v>
      </c>
    </row>
    <row r="7" spans="1:3" x14ac:dyDescent="0.35">
      <c r="A7" s="8" t="s">
        <v>222</v>
      </c>
      <c r="B7" s="9">
        <v>498577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3CFED-CAD5-4ACD-9DFE-5618C7FCD0D5}">
  <dimension ref="A1:L201"/>
  <sheetViews>
    <sheetView zoomScale="99" zoomScaleNormal="99" workbookViewId="0">
      <selection activeCell="K15" sqref="K15"/>
    </sheetView>
  </sheetViews>
  <sheetFormatPr defaultRowHeight="14.5" x14ac:dyDescent="0.35"/>
  <cols>
    <col min="1" max="1" width="10.81640625" bestFit="1" customWidth="1"/>
    <col min="2" max="2" width="13.08984375" style="6" customWidth="1"/>
    <col min="5" max="5" width="17.6328125" customWidth="1"/>
    <col min="6" max="6" width="14.08984375" style="6" customWidth="1"/>
    <col min="10" max="10" width="16.453125" customWidth="1"/>
    <col min="11" max="11" width="13" style="9" customWidth="1"/>
    <col min="12" max="12" width="10.1796875" customWidth="1"/>
  </cols>
  <sheetData>
    <row r="1" spans="1:12" x14ac:dyDescent="0.35">
      <c r="A1" s="12" t="s">
        <v>3</v>
      </c>
      <c r="B1" s="13" t="s">
        <v>219</v>
      </c>
      <c r="E1" s="4" t="s">
        <v>3</v>
      </c>
      <c r="F1" s="13" t="s">
        <v>219</v>
      </c>
      <c r="G1" s="4" t="s">
        <v>225</v>
      </c>
      <c r="J1" s="4" t="s">
        <v>226</v>
      </c>
      <c r="K1" s="15" t="s">
        <v>219</v>
      </c>
      <c r="L1" s="4" t="s">
        <v>225</v>
      </c>
    </row>
    <row r="2" spans="1:12" x14ac:dyDescent="0.35">
      <c r="A2" t="s">
        <v>214</v>
      </c>
      <c r="B2" s="6">
        <v>2472</v>
      </c>
      <c r="E2" t="s">
        <v>214</v>
      </c>
      <c r="F2" s="6">
        <f>SUMIF(A:A, E2, B:B)</f>
        <v>220890</v>
      </c>
      <c r="G2">
        <f>RANK(F2, F:F)</f>
        <v>1</v>
      </c>
      <c r="J2" t="str">
        <f>INDEX(E:E, MATCH(1, G:G, 0))</f>
        <v>Ali Khan</v>
      </c>
      <c r="K2" s="9">
        <f>INDEX(F:F, MATCH(1, G:G, 0))</f>
        <v>220890</v>
      </c>
      <c r="L2">
        <f>RANK(K2, K:K)</f>
        <v>1</v>
      </c>
    </row>
    <row r="3" spans="1:12" x14ac:dyDescent="0.35">
      <c r="A3" t="s">
        <v>211</v>
      </c>
      <c r="B3" s="6">
        <v>4635</v>
      </c>
      <c r="E3" t="s">
        <v>211</v>
      </c>
      <c r="F3" s="6">
        <f t="shared" ref="F3:F5" si="0">SUMIF(A:A, E3, B:B)</f>
        <v>76266</v>
      </c>
      <c r="G3">
        <f t="shared" ref="G3:G5" si="1">RANK(F3, F:F)</f>
        <v>4</v>
      </c>
      <c r="J3" t="str">
        <f>INDEX(E:E, MATCH(2, G:G, 0))</f>
        <v>Jane Smith</v>
      </c>
      <c r="K3" s="9">
        <f>INDEX(F:F, MATCH(2, G:G, 0))</f>
        <v>102991</v>
      </c>
      <c r="L3">
        <f t="shared" ref="L3:L4" si="2">RANK(K3, K:K)</f>
        <v>2</v>
      </c>
    </row>
    <row r="4" spans="1:12" x14ac:dyDescent="0.35">
      <c r="A4" t="s">
        <v>214</v>
      </c>
      <c r="B4" s="6">
        <v>996</v>
      </c>
      <c r="E4" t="s">
        <v>212</v>
      </c>
      <c r="F4" s="6">
        <f t="shared" si="0"/>
        <v>98430</v>
      </c>
      <c r="G4">
        <f t="shared" si="1"/>
        <v>3</v>
      </c>
      <c r="J4" t="str">
        <f>INDEX(E:E, MATCH(3, G:G, 0))</f>
        <v>Maria Lee</v>
      </c>
      <c r="K4" s="9">
        <f>INDEX(F:F, MATCH(3, G:G, 0))</f>
        <v>98430</v>
      </c>
      <c r="L4">
        <f t="shared" si="2"/>
        <v>3</v>
      </c>
    </row>
    <row r="5" spans="1:12" x14ac:dyDescent="0.35">
      <c r="A5" t="s">
        <v>212</v>
      </c>
      <c r="B5" s="6">
        <v>792</v>
      </c>
      <c r="E5" t="s">
        <v>213</v>
      </c>
      <c r="F5" s="6">
        <f t="shared" si="0"/>
        <v>102991</v>
      </c>
      <c r="G5">
        <f t="shared" si="1"/>
        <v>2</v>
      </c>
    </row>
    <row r="6" spans="1:12" x14ac:dyDescent="0.35">
      <c r="A6" t="s">
        <v>211</v>
      </c>
      <c r="B6" s="6">
        <v>2892</v>
      </c>
    </row>
    <row r="7" spans="1:12" x14ac:dyDescent="0.35">
      <c r="A7" t="s">
        <v>213</v>
      </c>
      <c r="B7" s="6">
        <v>928</v>
      </c>
    </row>
    <row r="8" spans="1:12" x14ac:dyDescent="0.35">
      <c r="A8" t="s">
        <v>211</v>
      </c>
      <c r="B8" s="6">
        <v>0</v>
      </c>
    </row>
    <row r="9" spans="1:12" x14ac:dyDescent="0.35">
      <c r="A9" t="s">
        <v>212</v>
      </c>
      <c r="B9" s="6">
        <v>1275</v>
      </c>
    </row>
    <row r="10" spans="1:12" x14ac:dyDescent="0.35">
      <c r="A10" t="s">
        <v>211</v>
      </c>
      <c r="B10" s="6">
        <v>1236</v>
      </c>
    </row>
    <row r="11" spans="1:12" x14ac:dyDescent="0.35">
      <c r="A11" t="s">
        <v>213</v>
      </c>
      <c r="B11" s="6">
        <v>7668</v>
      </c>
    </row>
    <row r="12" spans="1:12" x14ac:dyDescent="0.35">
      <c r="A12" t="s">
        <v>212</v>
      </c>
      <c r="B12" s="6">
        <v>0</v>
      </c>
    </row>
    <row r="13" spans="1:12" x14ac:dyDescent="0.35">
      <c r="A13" t="s">
        <v>214</v>
      </c>
      <c r="B13" s="6">
        <v>0</v>
      </c>
    </row>
    <row r="14" spans="1:12" x14ac:dyDescent="0.35">
      <c r="A14" t="s">
        <v>214</v>
      </c>
      <c r="B14" s="6">
        <v>1864</v>
      </c>
    </row>
    <row r="15" spans="1:12" x14ac:dyDescent="0.35">
      <c r="A15" t="s">
        <v>214</v>
      </c>
      <c r="B15" s="6">
        <v>6650</v>
      </c>
    </row>
    <row r="16" spans="1:12" x14ac:dyDescent="0.35">
      <c r="A16" t="s">
        <v>212</v>
      </c>
      <c r="B16" s="6">
        <v>574</v>
      </c>
    </row>
    <row r="17" spans="1:2" x14ac:dyDescent="0.35">
      <c r="A17" t="s">
        <v>212</v>
      </c>
      <c r="B17" s="6">
        <v>5900</v>
      </c>
    </row>
    <row r="18" spans="1:2" x14ac:dyDescent="0.35">
      <c r="A18" t="s">
        <v>212</v>
      </c>
      <c r="B18" s="6">
        <v>1860</v>
      </c>
    </row>
    <row r="19" spans="1:2" x14ac:dyDescent="0.35">
      <c r="A19" t="s">
        <v>213</v>
      </c>
      <c r="B19" s="6">
        <v>2912</v>
      </c>
    </row>
    <row r="20" spans="1:2" x14ac:dyDescent="0.35">
      <c r="A20" t="s">
        <v>212</v>
      </c>
      <c r="B20" s="6">
        <v>4544</v>
      </c>
    </row>
    <row r="21" spans="1:2" x14ac:dyDescent="0.35">
      <c r="A21" t="s">
        <v>214</v>
      </c>
      <c r="B21" s="6">
        <v>0</v>
      </c>
    </row>
    <row r="22" spans="1:2" x14ac:dyDescent="0.35">
      <c r="A22" t="s">
        <v>213</v>
      </c>
      <c r="B22" s="6">
        <v>8190</v>
      </c>
    </row>
    <row r="23" spans="1:2" x14ac:dyDescent="0.35">
      <c r="A23" t="s">
        <v>212</v>
      </c>
      <c r="B23" s="6">
        <v>639</v>
      </c>
    </row>
    <row r="24" spans="1:2" x14ac:dyDescent="0.35">
      <c r="A24" t="s">
        <v>213</v>
      </c>
      <c r="B24" s="6">
        <v>2912</v>
      </c>
    </row>
    <row r="25" spans="1:2" x14ac:dyDescent="0.35">
      <c r="A25" t="s">
        <v>214</v>
      </c>
      <c r="B25" s="6">
        <v>9340</v>
      </c>
    </row>
    <row r="26" spans="1:2" x14ac:dyDescent="0.35">
      <c r="A26" t="s">
        <v>214</v>
      </c>
      <c r="B26" s="6">
        <v>3222</v>
      </c>
    </row>
    <row r="27" spans="1:2" x14ac:dyDescent="0.35">
      <c r="A27" t="s">
        <v>213</v>
      </c>
      <c r="B27" s="6">
        <v>0</v>
      </c>
    </row>
    <row r="28" spans="1:2" x14ac:dyDescent="0.35">
      <c r="A28" t="s">
        <v>211</v>
      </c>
      <c r="B28" s="6">
        <v>1764</v>
      </c>
    </row>
    <row r="29" spans="1:2" x14ac:dyDescent="0.35">
      <c r="A29" t="s">
        <v>214</v>
      </c>
      <c r="B29" s="6">
        <v>0</v>
      </c>
    </row>
    <row r="30" spans="1:2" x14ac:dyDescent="0.35">
      <c r="A30" t="s">
        <v>212</v>
      </c>
      <c r="B30" s="6">
        <v>0</v>
      </c>
    </row>
    <row r="31" spans="1:2" x14ac:dyDescent="0.35">
      <c r="A31" t="s">
        <v>214</v>
      </c>
      <c r="B31" s="6">
        <v>2268</v>
      </c>
    </row>
    <row r="32" spans="1:2" x14ac:dyDescent="0.35">
      <c r="A32" t="s">
        <v>214</v>
      </c>
      <c r="B32" s="6">
        <v>0</v>
      </c>
    </row>
    <row r="33" spans="1:2" x14ac:dyDescent="0.35">
      <c r="A33" t="s">
        <v>214</v>
      </c>
      <c r="B33" s="6">
        <v>4826</v>
      </c>
    </row>
    <row r="34" spans="1:2" x14ac:dyDescent="0.35">
      <c r="A34" t="s">
        <v>211</v>
      </c>
      <c r="B34" s="6">
        <v>741</v>
      </c>
    </row>
    <row r="35" spans="1:2" x14ac:dyDescent="0.35">
      <c r="A35" t="s">
        <v>214</v>
      </c>
      <c r="B35" s="6">
        <v>145</v>
      </c>
    </row>
    <row r="36" spans="1:2" x14ac:dyDescent="0.35">
      <c r="A36" t="s">
        <v>214</v>
      </c>
      <c r="B36" s="6">
        <v>0</v>
      </c>
    </row>
    <row r="37" spans="1:2" x14ac:dyDescent="0.35">
      <c r="A37" t="s">
        <v>214</v>
      </c>
      <c r="B37" s="6">
        <v>5954</v>
      </c>
    </row>
    <row r="38" spans="1:2" x14ac:dyDescent="0.35">
      <c r="A38" t="s">
        <v>214</v>
      </c>
      <c r="B38" s="6">
        <v>5060</v>
      </c>
    </row>
    <row r="39" spans="1:2" x14ac:dyDescent="0.35">
      <c r="A39" t="s">
        <v>212</v>
      </c>
      <c r="B39" s="6">
        <v>2670</v>
      </c>
    </row>
    <row r="40" spans="1:2" x14ac:dyDescent="0.35">
      <c r="A40" t="s">
        <v>213</v>
      </c>
      <c r="B40" s="6">
        <v>6802</v>
      </c>
    </row>
    <row r="41" spans="1:2" x14ac:dyDescent="0.35">
      <c r="A41" t="s">
        <v>212</v>
      </c>
      <c r="B41" s="6">
        <v>284</v>
      </c>
    </row>
    <row r="42" spans="1:2" x14ac:dyDescent="0.35">
      <c r="A42" t="s">
        <v>214</v>
      </c>
      <c r="B42" s="6">
        <v>4280</v>
      </c>
    </row>
    <row r="43" spans="1:2" x14ac:dyDescent="0.35">
      <c r="A43" t="s">
        <v>212</v>
      </c>
      <c r="B43" s="6">
        <v>0</v>
      </c>
    </row>
    <row r="44" spans="1:2" x14ac:dyDescent="0.35">
      <c r="A44" t="s">
        <v>214</v>
      </c>
      <c r="B44" s="6">
        <v>0</v>
      </c>
    </row>
    <row r="45" spans="1:2" x14ac:dyDescent="0.35">
      <c r="A45" t="s">
        <v>214</v>
      </c>
      <c r="B45" s="6">
        <v>5838</v>
      </c>
    </row>
    <row r="46" spans="1:2" x14ac:dyDescent="0.35">
      <c r="A46" t="s">
        <v>214</v>
      </c>
      <c r="B46" s="6">
        <v>6045</v>
      </c>
    </row>
    <row r="47" spans="1:2" x14ac:dyDescent="0.35">
      <c r="A47" t="s">
        <v>214</v>
      </c>
      <c r="B47" s="6">
        <v>1946</v>
      </c>
    </row>
    <row r="48" spans="1:2" x14ac:dyDescent="0.35">
      <c r="A48" t="s">
        <v>212</v>
      </c>
      <c r="B48" s="6">
        <v>0</v>
      </c>
    </row>
    <row r="49" spans="1:2" x14ac:dyDescent="0.35">
      <c r="A49" t="s">
        <v>212</v>
      </c>
      <c r="B49" s="6">
        <v>920</v>
      </c>
    </row>
    <row r="50" spans="1:2" x14ac:dyDescent="0.35">
      <c r="A50" t="s">
        <v>214</v>
      </c>
      <c r="B50" s="6">
        <v>5168</v>
      </c>
    </row>
    <row r="51" spans="1:2" x14ac:dyDescent="0.35">
      <c r="A51" t="s">
        <v>213</v>
      </c>
      <c r="B51" s="6">
        <v>4550</v>
      </c>
    </row>
    <row r="52" spans="1:2" x14ac:dyDescent="0.35">
      <c r="A52" t="s">
        <v>213</v>
      </c>
      <c r="B52" s="6">
        <v>0</v>
      </c>
    </row>
    <row r="53" spans="1:2" x14ac:dyDescent="0.35">
      <c r="A53" t="s">
        <v>214</v>
      </c>
      <c r="B53" s="6">
        <v>5140</v>
      </c>
    </row>
    <row r="54" spans="1:2" x14ac:dyDescent="0.35">
      <c r="A54" t="s">
        <v>212</v>
      </c>
      <c r="B54" s="6">
        <v>0</v>
      </c>
    </row>
    <row r="55" spans="1:2" x14ac:dyDescent="0.35">
      <c r="A55" t="s">
        <v>213</v>
      </c>
      <c r="B55" s="6">
        <v>917</v>
      </c>
    </row>
    <row r="56" spans="1:2" x14ac:dyDescent="0.35">
      <c r="A56" t="s">
        <v>212</v>
      </c>
      <c r="B56" s="6">
        <v>1107</v>
      </c>
    </row>
    <row r="57" spans="1:2" x14ac:dyDescent="0.35">
      <c r="A57" t="s">
        <v>211</v>
      </c>
      <c r="B57" s="6">
        <v>1588</v>
      </c>
    </row>
    <row r="58" spans="1:2" x14ac:dyDescent="0.35">
      <c r="A58" t="s">
        <v>214</v>
      </c>
      <c r="B58" s="6">
        <v>0</v>
      </c>
    </row>
    <row r="59" spans="1:2" x14ac:dyDescent="0.35">
      <c r="A59" t="s">
        <v>212</v>
      </c>
      <c r="B59" s="6">
        <v>1020</v>
      </c>
    </row>
    <row r="60" spans="1:2" x14ac:dyDescent="0.35">
      <c r="A60" t="s">
        <v>212</v>
      </c>
      <c r="B60" s="6">
        <v>4266</v>
      </c>
    </row>
    <row r="61" spans="1:2" x14ac:dyDescent="0.35">
      <c r="A61" t="s">
        <v>212</v>
      </c>
      <c r="B61" s="6">
        <v>5780</v>
      </c>
    </row>
    <row r="62" spans="1:2" x14ac:dyDescent="0.35">
      <c r="A62" t="s">
        <v>213</v>
      </c>
      <c r="B62" s="6">
        <v>0</v>
      </c>
    </row>
    <row r="63" spans="1:2" x14ac:dyDescent="0.35">
      <c r="A63" t="s">
        <v>212</v>
      </c>
      <c r="B63" s="6">
        <v>0</v>
      </c>
    </row>
    <row r="64" spans="1:2" x14ac:dyDescent="0.35">
      <c r="A64" t="s">
        <v>211</v>
      </c>
      <c r="B64" s="6">
        <v>480</v>
      </c>
    </row>
    <row r="65" spans="1:2" x14ac:dyDescent="0.35">
      <c r="A65" t="s">
        <v>213</v>
      </c>
      <c r="B65" s="6">
        <v>1335</v>
      </c>
    </row>
    <row r="66" spans="1:2" x14ac:dyDescent="0.35">
      <c r="A66" t="s">
        <v>214</v>
      </c>
      <c r="B66" s="6">
        <v>3531</v>
      </c>
    </row>
    <row r="67" spans="1:2" x14ac:dyDescent="0.35">
      <c r="A67" t="s">
        <v>214</v>
      </c>
      <c r="B67" s="6">
        <v>3990</v>
      </c>
    </row>
    <row r="68" spans="1:2" x14ac:dyDescent="0.35">
      <c r="A68" t="s">
        <v>214</v>
      </c>
      <c r="B68" s="6">
        <v>2478</v>
      </c>
    </row>
    <row r="69" spans="1:2" x14ac:dyDescent="0.35">
      <c r="A69" t="s">
        <v>211</v>
      </c>
      <c r="B69" s="6">
        <v>819</v>
      </c>
    </row>
    <row r="70" spans="1:2" x14ac:dyDescent="0.35">
      <c r="A70" t="s">
        <v>212</v>
      </c>
      <c r="B70" s="6">
        <v>0</v>
      </c>
    </row>
    <row r="71" spans="1:2" x14ac:dyDescent="0.35">
      <c r="A71" t="s">
        <v>211</v>
      </c>
      <c r="B71" s="6">
        <v>6740</v>
      </c>
    </row>
    <row r="72" spans="1:2" x14ac:dyDescent="0.35">
      <c r="A72" t="s">
        <v>214</v>
      </c>
      <c r="B72" s="6">
        <v>0</v>
      </c>
    </row>
    <row r="73" spans="1:2" x14ac:dyDescent="0.35">
      <c r="A73" t="s">
        <v>212</v>
      </c>
      <c r="B73" s="6">
        <v>0</v>
      </c>
    </row>
    <row r="74" spans="1:2" x14ac:dyDescent="0.35">
      <c r="A74" t="s">
        <v>211</v>
      </c>
      <c r="B74" s="6">
        <v>2904</v>
      </c>
    </row>
    <row r="75" spans="1:2" x14ac:dyDescent="0.35">
      <c r="A75" t="s">
        <v>213</v>
      </c>
      <c r="B75" s="6">
        <v>3913</v>
      </c>
    </row>
    <row r="76" spans="1:2" x14ac:dyDescent="0.35">
      <c r="A76" t="s">
        <v>212</v>
      </c>
      <c r="B76" s="6">
        <v>1547</v>
      </c>
    </row>
    <row r="77" spans="1:2" x14ac:dyDescent="0.35">
      <c r="A77" t="s">
        <v>213</v>
      </c>
      <c r="B77" s="6">
        <v>3091</v>
      </c>
    </row>
    <row r="78" spans="1:2" x14ac:dyDescent="0.35">
      <c r="A78" t="s">
        <v>211</v>
      </c>
      <c r="B78" s="6">
        <v>2490</v>
      </c>
    </row>
    <row r="79" spans="1:2" x14ac:dyDescent="0.35">
      <c r="A79" t="s">
        <v>212</v>
      </c>
      <c r="B79" s="6">
        <v>0</v>
      </c>
    </row>
    <row r="80" spans="1:2" x14ac:dyDescent="0.35">
      <c r="A80" t="s">
        <v>214</v>
      </c>
      <c r="B80" s="6">
        <v>8194</v>
      </c>
    </row>
    <row r="81" spans="1:2" x14ac:dyDescent="0.35">
      <c r="A81" t="s">
        <v>214</v>
      </c>
      <c r="B81" s="6">
        <v>4692</v>
      </c>
    </row>
    <row r="82" spans="1:2" x14ac:dyDescent="0.35">
      <c r="A82" t="s">
        <v>214</v>
      </c>
      <c r="B82" s="6">
        <v>415</v>
      </c>
    </row>
    <row r="83" spans="1:2" x14ac:dyDescent="0.35">
      <c r="A83" t="s">
        <v>212</v>
      </c>
      <c r="B83" s="6">
        <v>990</v>
      </c>
    </row>
    <row r="84" spans="1:2" x14ac:dyDescent="0.35">
      <c r="A84" t="s">
        <v>211</v>
      </c>
      <c r="B84" s="6">
        <v>2910</v>
      </c>
    </row>
    <row r="85" spans="1:2" x14ac:dyDescent="0.35">
      <c r="A85" t="s">
        <v>214</v>
      </c>
      <c r="B85" s="6">
        <v>1239</v>
      </c>
    </row>
    <row r="86" spans="1:2" x14ac:dyDescent="0.35">
      <c r="A86" t="s">
        <v>214</v>
      </c>
      <c r="B86" s="6">
        <v>6016</v>
      </c>
    </row>
    <row r="87" spans="1:2" x14ac:dyDescent="0.35">
      <c r="A87" t="s">
        <v>212</v>
      </c>
      <c r="B87" s="6">
        <v>4465</v>
      </c>
    </row>
    <row r="88" spans="1:2" x14ac:dyDescent="0.35">
      <c r="A88" t="s">
        <v>214</v>
      </c>
      <c r="B88" s="6">
        <v>1680</v>
      </c>
    </row>
    <row r="89" spans="1:2" x14ac:dyDescent="0.35">
      <c r="A89" t="s">
        <v>212</v>
      </c>
      <c r="B89" s="6">
        <v>8645</v>
      </c>
    </row>
    <row r="90" spans="1:2" x14ac:dyDescent="0.35">
      <c r="A90" t="s">
        <v>214</v>
      </c>
      <c r="B90" s="6">
        <v>9080</v>
      </c>
    </row>
    <row r="91" spans="1:2" x14ac:dyDescent="0.35">
      <c r="A91" t="s">
        <v>211</v>
      </c>
      <c r="B91" s="6">
        <v>2574</v>
      </c>
    </row>
    <row r="92" spans="1:2" x14ac:dyDescent="0.35">
      <c r="A92" t="s">
        <v>214</v>
      </c>
      <c r="B92" s="6">
        <v>714</v>
      </c>
    </row>
    <row r="93" spans="1:2" x14ac:dyDescent="0.35">
      <c r="A93" t="s">
        <v>211</v>
      </c>
      <c r="B93" s="6">
        <v>3320</v>
      </c>
    </row>
    <row r="94" spans="1:2" x14ac:dyDescent="0.35">
      <c r="A94" t="s">
        <v>213</v>
      </c>
      <c r="B94" s="6">
        <v>1786</v>
      </c>
    </row>
    <row r="95" spans="1:2" x14ac:dyDescent="0.35">
      <c r="A95" t="s">
        <v>214</v>
      </c>
      <c r="B95" s="6">
        <v>0</v>
      </c>
    </row>
    <row r="96" spans="1:2" x14ac:dyDescent="0.35">
      <c r="A96" t="s">
        <v>213</v>
      </c>
      <c r="B96" s="6">
        <v>4180</v>
      </c>
    </row>
    <row r="97" spans="1:2" x14ac:dyDescent="0.35">
      <c r="A97" t="s">
        <v>211</v>
      </c>
      <c r="B97" s="6">
        <v>520</v>
      </c>
    </row>
    <row r="98" spans="1:2" x14ac:dyDescent="0.35">
      <c r="A98" t="s">
        <v>212</v>
      </c>
      <c r="B98" s="6">
        <v>0</v>
      </c>
    </row>
    <row r="99" spans="1:2" x14ac:dyDescent="0.35">
      <c r="A99" t="s">
        <v>211</v>
      </c>
      <c r="B99" s="6">
        <v>342</v>
      </c>
    </row>
    <row r="100" spans="1:2" x14ac:dyDescent="0.35">
      <c r="A100" t="s">
        <v>211</v>
      </c>
      <c r="B100" s="6">
        <v>1134</v>
      </c>
    </row>
    <row r="101" spans="1:2" x14ac:dyDescent="0.35">
      <c r="A101" t="s">
        <v>212</v>
      </c>
      <c r="B101" s="6">
        <v>4896</v>
      </c>
    </row>
    <row r="102" spans="1:2" x14ac:dyDescent="0.35">
      <c r="A102" t="s">
        <v>213</v>
      </c>
      <c r="B102" s="6">
        <v>4294</v>
      </c>
    </row>
    <row r="103" spans="1:2" x14ac:dyDescent="0.35">
      <c r="A103" t="s">
        <v>214</v>
      </c>
      <c r="B103" s="6">
        <v>948</v>
      </c>
    </row>
    <row r="104" spans="1:2" x14ac:dyDescent="0.35">
      <c r="A104" t="s">
        <v>211</v>
      </c>
      <c r="B104" s="6">
        <v>7163</v>
      </c>
    </row>
    <row r="105" spans="1:2" x14ac:dyDescent="0.35">
      <c r="A105" t="s">
        <v>211</v>
      </c>
      <c r="B105" s="6">
        <v>4873</v>
      </c>
    </row>
    <row r="106" spans="1:2" x14ac:dyDescent="0.35">
      <c r="A106" t="s">
        <v>214</v>
      </c>
      <c r="B106" s="6">
        <v>4607</v>
      </c>
    </row>
    <row r="107" spans="1:2" x14ac:dyDescent="0.35">
      <c r="A107" t="s">
        <v>211</v>
      </c>
      <c r="B107" s="6">
        <v>988</v>
      </c>
    </row>
    <row r="108" spans="1:2" x14ac:dyDescent="0.35">
      <c r="A108" t="s">
        <v>214</v>
      </c>
      <c r="B108" s="6">
        <v>1243</v>
      </c>
    </row>
    <row r="109" spans="1:2" x14ac:dyDescent="0.35">
      <c r="A109" t="s">
        <v>214</v>
      </c>
      <c r="B109" s="6">
        <v>615</v>
      </c>
    </row>
    <row r="110" spans="1:2" x14ac:dyDescent="0.35">
      <c r="A110" t="s">
        <v>214</v>
      </c>
      <c r="B110" s="6">
        <v>1290</v>
      </c>
    </row>
    <row r="111" spans="1:2" x14ac:dyDescent="0.35">
      <c r="A111" t="s">
        <v>212</v>
      </c>
      <c r="B111" s="6">
        <v>0</v>
      </c>
    </row>
    <row r="112" spans="1:2" x14ac:dyDescent="0.35">
      <c r="A112" t="s">
        <v>213</v>
      </c>
      <c r="B112" s="6">
        <v>4725</v>
      </c>
    </row>
    <row r="113" spans="1:2" x14ac:dyDescent="0.35">
      <c r="A113" t="s">
        <v>213</v>
      </c>
      <c r="B113" s="6">
        <v>9660</v>
      </c>
    </row>
    <row r="114" spans="1:2" x14ac:dyDescent="0.35">
      <c r="A114" t="s">
        <v>214</v>
      </c>
      <c r="B114" s="6">
        <v>1800</v>
      </c>
    </row>
    <row r="115" spans="1:2" x14ac:dyDescent="0.35">
      <c r="A115" t="s">
        <v>212</v>
      </c>
      <c r="B115" s="6">
        <v>4316</v>
      </c>
    </row>
    <row r="116" spans="1:2" x14ac:dyDescent="0.35">
      <c r="A116" t="s">
        <v>214</v>
      </c>
      <c r="B116" s="6">
        <v>4070</v>
      </c>
    </row>
    <row r="117" spans="1:2" x14ac:dyDescent="0.35">
      <c r="A117" t="s">
        <v>213</v>
      </c>
      <c r="B117" s="6">
        <v>646</v>
      </c>
    </row>
    <row r="118" spans="1:2" x14ac:dyDescent="0.35">
      <c r="A118" t="s">
        <v>213</v>
      </c>
      <c r="B118" s="6">
        <v>4158</v>
      </c>
    </row>
    <row r="119" spans="1:2" x14ac:dyDescent="0.35">
      <c r="A119" t="s">
        <v>213</v>
      </c>
      <c r="B119" s="6">
        <v>0</v>
      </c>
    </row>
    <row r="120" spans="1:2" x14ac:dyDescent="0.35">
      <c r="A120" t="s">
        <v>211</v>
      </c>
      <c r="B120" s="6">
        <v>0</v>
      </c>
    </row>
    <row r="121" spans="1:2" x14ac:dyDescent="0.35">
      <c r="A121" t="s">
        <v>214</v>
      </c>
      <c r="B121" s="6">
        <v>3590</v>
      </c>
    </row>
    <row r="122" spans="1:2" x14ac:dyDescent="0.35">
      <c r="A122" t="s">
        <v>212</v>
      </c>
      <c r="B122" s="6">
        <v>0</v>
      </c>
    </row>
    <row r="123" spans="1:2" x14ac:dyDescent="0.35">
      <c r="A123" t="s">
        <v>214</v>
      </c>
      <c r="B123" s="6">
        <v>0</v>
      </c>
    </row>
    <row r="124" spans="1:2" x14ac:dyDescent="0.35">
      <c r="A124" t="s">
        <v>213</v>
      </c>
      <c r="B124" s="6">
        <v>0</v>
      </c>
    </row>
    <row r="125" spans="1:2" x14ac:dyDescent="0.35">
      <c r="A125" t="s">
        <v>212</v>
      </c>
      <c r="B125" s="6">
        <v>0</v>
      </c>
    </row>
    <row r="126" spans="1:2" x14ac:dyDescent="0.35">
      <c r="A126" t="s">
        <v>214</v>
      </c>
      <c r="B126" s="6">
        <v>4485</v>
      </c>
    </row>
    <row r="127" spans="1:2" x14ac:dyDescent="0.35">
      <c r="A127" t="s">
        <v>213</v>
      </c>
      <c r="B127" s="6">
        <v>471</v>
      </c>
    </row>
    <row r="128" spans="1:2" x14ac:dyDescent="0.35">
      <c r="A128" t="s">
        <v>213</v>
      </c>
      <c r="B128" s="6">
        <v>3419</v>
      </c>
    </row>
    <row r="129" spans="1:2" x14ac:dyDescent="0.35">
      <c r="A129" t="s">
        <v>212</v>
      </c>
      <c r="B129" s="6">
        <v>715</v>
      </c>
    </row>
    <row r="130" spans="1:2" x14ac:dyDescent="0.35">
      <c r="A130" t="s">
        <v>214</v>
      </c>
      <c r="B130" s="6">
        <v>6307</v>
      </c>
    </row>
    <row r="131" spans="1:2" x14ac:dyDescent="0.35">
      <c r="A131" t="s">
        <v>212</v>
      </c>
      <c r="B131" s="6">
        <v>0</v>
      </c>
    </row>
    <row r="132" spans="1:2" x14ac:dyDescent="0.35">
      <c r="A132" t="s">
        <v>214</v>
      </c>
      <c r="B132" s="6">
        <v>5049</v>
      </c>
    </row>
    <row r="133" spans="1:2" x14ac:dyDescent="0.35">
      <c r="A133" t="s">
        <v>211</v>
      </c>
      <c r="B133" s="6">
        <v>5556</v>
      </c>
    </row>
    <row r="134" spans="1:2" x14ac:dyDescent="0.35">
      <c r="A134" t="s">
        <v>212</v>
      </c>
      <c r="B134" s="6">
        <v>1414</v>
      </c>
    </row>
    <row r="135" spans="1:2" x14ac:dyDescent="0.35">
      <c r="A135" t="s">
        <v>214</v>
      </c>
      <c r="B135" s="6">
        <v>6432</v>
      </c>
    </row>
    <row r="136" spans="1:2" x14ac:dyDescent="0.35">
      <c r="A136" t="s">
        <v>214</v>
      </c>
      <c r="B136" s="6">
        <v>1375</v>
      </c>
    </row>
    <row r="137" spans="1:2" x14ac:dyDescent="0.35">
      <c r="A137" t="s">
        <v>213</v>
      </c>
      <c r="B137" s="6">
        <v>2870</v>
      </c>
    </row>
    <row r="138" spans="1:2" x14ac:dyDescent="0.35">
      <c r="A138" t="s">
        <v>211</v>
      </c>
      <c r="B138" s="6">
        <v>1440</v>
      </c>
    </row>
    <row r="139" spans="1:2" x14ac:dyDescent="0.35">
      <c r="A139" t="s">
        <v>212</v>
      </c>
      <c r="B139" s="6">
        <v>8838</v>
      </c>
    </row>
    <row r="140" spans="1:2" x14ac:dyDescent="0.35">
      <c r="A140" t="s">
        <v>214</v>
      </c>
      <c r="B140" s="6">
        <v>7225</v>
      </c>
    </row>
    <row r="141" spans="1:2" x14ac:dyDescent="0.35">
      <c r="A141" t="s">
        <v>214</v>
      </c>
      <c r="B141" s="6">
        <v>0</v>
      </c>
    </row>
    <row r="142" spans="1:2" x14ac:dyDescent="0.35">
      <c r="A142" t="s">
        <v>214</v>
      </c>
      <c r="B142" s="6">
        <v>2320</v>
      </c>
    </row>
    <row r="143" spans="1:2" x14ac:dyDescent="0.35">
      <c r="A143" t="s">
        <v>212</v>
      </c>
      <c r="B143" s="6">
        <v>4069</v>
      </c>
    </row>
    <row r="144" spans="1:2" x14ac:dyDescent="0.35">
      <c r="A144" t="s">
        <v>214</v>
      </c>
      <c r="B144" s="6">
        <v>1278</v>
      </c>
    </row>
    <row r="145" spans="1:2" x14ac:dyDescent="0.35">
      <c r="A145" t="s">
        <v>212</v>
      </c>
      <c r="B145" s="6">
        <v>2240</v>
      </c>
    </row>
    <row r="146" spans="1:2" x14ac:dyDescent="0.35">
      <c r="A146" t="s">
        <v>214</v>
      </c>
      <c r="B146" s="6">
        <v>1056</v>
      </c>
    </row>
    <row r="147" spans="1:2" x14ac:dyDescent="0.35">
      <c r="A147" t="s">
        <v>213</v>
      </c>
      <c r="B147" s="6">
        <v>150</v>
      </c>
    </row>
    <row r="148" spans="1:2" x14ac:dyDescent="0.35">
      <c r="A148" t="s">
        <v>212</v>
      </c>
      <c r="B148" s="6">
        <v>1968</v>
      </c>
    </row>
    <row r="149" spans="1:2" x14ac:dyDescent="0.35">
      <c r="A149" t="s">
        <v>212</v>
      </c>
      <c r="B149" s="6">
        <v>5280</v>
      </c>
    </row>
    <row r="150" spans="1:2" x14ac:dyDescent="0.35">
      <c r="A150" t="s">
        <v>211</v>
      </c>
      <c r="B150" s="6">
        <v>7395</v>
      </c>
    </row>
    <row r="151" spans="1:2" x14ac:dyDescent="0.35">
      <c r="A151" t="s">
        <v>213</v>
      </c>
      <c r="B151" s="6">
        <v>3728</v>
      </c>
    </row>
    <row r="152" spans="1:2" x14ac:dyDescent="0.35">
      <c r="A152" t="s">
        <v>212</v>
      </c>
      <c r="B152" s="6">
        <v>5520</v>
      </c>
    </row>
    <row r="153" spans="1:2" x14ac:dyDescent="0.35">
      <c r="A153" t="s">
        <v>214</v>
      </c>
      <c r="B153" s="6">
        <v>1029</v>
      </c>
    </row>
    <row r="154" spans="1:2" x14ac:dyDescent="0.35">
      <c r="A154" t="s">
        <v>214</v>
      </c>
      <c r="B154" s="6">
        <v>5795</v>
      </c>
    </row>
    <row r="155" spans="1:2" x14ac:dyDescent="0.35">
      <c r="A155" t="s">
        <v>214</v>
      </c>
      <c r="B155" s="6">
        <v>4335</v>
      </c>
    </row>
    <row r="156" spans="1:2" x14ac:dyDescent="0.35">
      <c r="A156" t="s">
        <v>214</v>
      </c>
      <c r="B156" s="6">
        <v>2691</v>
      </c>
    </row>
    <row r="157" spans="1:2" x14ac:dyDescent="0.35">
      <c r="A157" t="s">
        <v>214</v>
      </c>
      <c r="B157" s="6">
        <v>1344</v>
      </c>
    </row>
    <row r="158" spans="1:2" x14ac:dyDescent="0.35">
      <c r="A158" t="s">
        <v>211</v>
      </c>
      <c r="B158" s="6">
        <v>2156</v>
      </c>
    </row>
    <row r="159" spans="1:2" x14ac:dyDescent="0.35">
      <c r="A159" t="s">
        <v>212</v>
      </c>
      <c r="B159" s="6">
        <v>865</v>
      </c>
    </row>
    <row r="160" spans="1:2" x14ac:dyDescent="0.35">
      <c r="A160" t="s">
        <v>214</v>
      </c>
      <c r="B160" s="6">
        <v>460</v>
      </c>
    </row>
    <row r="161" spans="1:2" x14ac:dyDescent="0.35">
      <c r="A161" t="s">
        <v>211</v>
      </c>
      <c r="B161" s="6">
        <v>0</v>
      </c>
    </row>
    <row r="162" spans="1:2" x14ac:dyDescent="0.35">
      <c r="A162" t="s">
        <v>214</v>
      </c>
      <c r="B162" s="6">
        <v>1420</v>
      </c>
    </row>
    <row r="163" spans="1:2" x14ac:dyDescent="0.35">
      <c r="A163" t="s">
        <v>211</v>
      </c>
      <c r="B163" s="6">
        <v>6528</v>
      </c>
    </row>
    <row r="164" spans="1:2" x14ac:dyDescent="0.35">
      <c r="A164" t="s">
        <v>214</v>
      </c>
      <c r="B164" s="6">
        <v>1960</v>
      </c>
    </row>
    <row r="165" spans="1:2" x14ac:dyDescent="0.35">
      <c r="A165" t="s">
        <v>212</v>
      </c>
      <c r="B165" s="6">
        <v>0</v>
      </c>
    </row>
    <row r="166" spans="1:2" x14ac:dyDescent="0.35">
      <c r="A166" t="s">
        <v>214</v>
      </c>
      <c r="B166" s="6">
        <v>1770</v>
      </c>
    </row>
    <row r="167" spans="1:2" x14ac:dyDescent="0.35">
      <c r="A167" t="s">
        <v>213</v>
      </c>
      <c r="B167" s="6">
        <v>2110</v>
      </c>
    </row>
    <row r="168" spans="1:2" x14ac:dyDescent="0.35">
      <c r="A168" t="s">
        <v>214</v>
      </c>
      <c r="B168" s="6">
        <v>768</v>
      </c>
    </row>
    <row r="169" spans="1:2" x14ac:dyDescent="0.35">
      <c r="A169" t="s">
        <v>214</v>
      </c>
      <c r="B169" s="6">
        <v>2040</v>
      </c>
    </row>
    <row r="170" spans="1:2" x14ac:dyDescent="0.35">
      <c r="A170" t="s">
        <v>213</v>
      </c>
      <c r="B170" s="6">
        <v>4044</v>
      </c>
    </row>
    <row r="171" spans="1:2" x14ac:dyDescent="0.35">
      <c r="A171" t="s">
        <v>213</v>
      </c>
      <c r="B171" s="6">
        <v>4662</v>
      </c>
    </row>
    <row r="172" spans="1:2" x14ac:dyDescent="0.35">
      <c r="A172" t="s">
        <v>214</v>
      </c>
      <c r="B172" s="6">
        <v>0</v>
      </c>
    </row>
    <row r="173" spans="1:2" x14ac:dyDescent="0.35">
      <c r="A173" t="s">
        <v>214</v>
      </c>
      <c r="B173" s="6">
        <v>3528</v>
      </c>
    </row>
    <row r="174" spans="1:2" x14ac:dyDescent="0.35">
      <c r="A174" t="s">
        <v>213</v>
      </c>
      <c r="B174" s="6">
        <v>1416</v>
      </c>
    </row>
    <row r="175" spans="1:2" x14ac:dyDescent="0.35">
      <c r="A175" t="s">
        <v>211</v>
      </c>
      <c r="B175" s="6">
        <v>398</v>
      </c>
    </row>
    <row r="176" spans="1:2" x14ac:dyDescent="0.35">
      <c r="A176" t="s">
        <v>211</v>
      </c>
      <c r="B176" s="6">
        <v>460</v>
      </c>
    </row>
    <row r="177" spans="1:2" x14ac:dyDescent="0.35">
      <c r="A177" t="s">
        <v>214</v>
      </c>
      <c r="B177" s="6">
        <v>2761</v>
      </c>
    </row>
    <row r="178" spans="1:2" x14ac:dyDescent="0.35">
      <c r="A178" t="s">
        <v>212</v>
      </c>
      <c r="B178" s="6">
        <v>1115</v>
      </c>
    </row>
    <row r="179" spans="1:2" x14ac:dyDescent="0.35">
      <c r="A179" t="s">
        <v>211</v>
      </c>
      <c r="B179" s="6">
        <v>0</v>
      </c>
    </row>
    <row r="180" spans="1:2" x14ac:dyDescent="0.35">
      <c r="A180" t="s">
        <v>214</v>
      </c>
      <c r="B180" s="6">
        <v>2416</v>
      </c>
    </row>
    <row r="181" spans="1:2" x14ac:dyDescent="0.35">
      <c r="A181" t="s">
        <v>214</v>
      </c>
      <c r="B181" s="6">
        <v>1275</v>
      </c>
    </row>
    <row r="182" spans="1:2" x14ac:dyDescent="0.35">
      <c r="A182" t="s">
        <v>213</v>
      </c>
      <c r="B182" s="6">
        <v>1168</v>
      </c>
    </row>
    <row r="183" spans="1:2" x14ac:dyDescent="0.35">
      <c r="A183" t="s">
        <v>211</v>
      </c>
      <c r="B183" s="6">
        <v>0</v>
      </c>
    </row>
    <row r="184" spans="1:2" x14ac:dyDescent="0.35">
      <c r="A184" t="s">
        <v>214</v>
      </c>
      <c r="B184" s="6">
        <v>461</v>
      </c>
    </row>
    <row r="185" spans="1:2" x14ac:dyDescent="0.35">
      <c r="A185" t="s">
        <v>214</v>
      </c>
      <c r="B185" s="6">
        <v>1415</v>
      </c>
    </row>
    <row r="186" spans="1:2" x14ac:dyDescent="0.35">
      <c r="A186" t="s">
        <v>212</v>
      </c>
      <c r="B186" s="6">
        <v>6260</v>
      </c>
    </row>
    <row r="187" spans="1:2" x14ac:dyDescent="0.35">
      <c r="A187" t="s">
        <v>213</v>
      </c>
      <c r="B187" s="6">
        <v>1452</v>
      </c>
    </row>
    <row r="188" spans="1:2" x14ac:dyDescent="0.35">
      <c r="A188" t="s">
        <v>213</v>
      </c>
      <c r="B188" s="6">
        <v>2008</v>
      </c>
    </row>
    <row r="189" spans="1:2" x14ac:dyDescent="0.35">
      <c r="A189" t="s">
        <v>213</v>
      </c>
      <c r="B189" s="6">
        <v>856</v>
      </c>
    </row>
    <row r="190" spans="1:2" x14ac:dyDescent="0.35">
      <c r="A190" t="s">
        <v>214</v>
      </c>
      <c r="B190" s="6">
        <v>7060</v>
      </c>
    </row>
    <row r="191" spans="1:2" x14ac:dyDescent="0.35">
      <c r="A191" t="s">
        <v>214</v>
      </c>
      <c r="B191" s="6">
        <v>1896</v>
      </c>
    </row>
    <row r="192" spans="1:2" x14ac:dyDescent="0.35">
      <c r="A192" t="s">
        <v>214</v>
      </c>
      <c r="B192" s="6">
        <v>4800</v>
      </c>
    </row>
    <row r="193" spans="1:2" x14ac:dyDescent="0.35">
      <c r="A193" t="s">
        <v>214</v>
      </c>
      <c r="B193" s="6">
        <v>203</v>
      </c>
    </row>
    <row r="194" spans="1:2" x14ac:dyDescent="0.35">
      <c r="A194" t="s">
        <v>214</v>
      </c>
      <c r="B194" s="6">
        <v>1102</v>
      </c>
    </row>
    <row r="195" spans="1:2" x14ac:dyDescent="0.35">
      <c r="A195" t="s">
        <v>213</v>
      </c>
      <c r="B195" s="6">
        <v>1970</v>
      </c>
    </row>
    <row r="196" spans="1:2" x14ac:dyDescent="0.35">
      <c r="A196" t="s">
        <v>214</v>
      </c>
      <c r="B196" s="6">
        <v>263</v>
      </c>
    </row>
    <row r="197" spans="1:2" x14ac:dyDescent="0.35">
      <c r="A197" t="s">
        <v>212</v>
      </c>
      <c r="B197" s="6">
        <v>3656</v>
      </c>
    </row>
    <row r="198" spans="1:2" x14ac:dyDescent="0.35">
      <c r="A198" t="s">
        <v>214</v>
      </c>
      <c r="B198" s="6">
        <v>2976</v>
      </c>
    </row>
    <row r="199" spans="1:2" x14ac:dyDescent="0.35">
      <c r="A199" t="s">
        <v>214</v>
      </c>
      <c r="B199" s="6">
        <v>189</v>
      </c>
    </row>
    <row r="200" spans="1:2" x14ac:dyDescent="0.35">
      <c r="A200" t="s">
        <v>211</v>
      </c>
      <c r="B200" s="6">
        <v>2220</v>
      </c>
    </row>
    <row r="201" spans="1:2" x14ac:dyDescent="0.35">
      <c r="A201" t="s">
        <v>212</v>
      </c>
      <c r="B201" s="6">
        <v>0</v>
      </c>
    </row>
  </sheetData>
  <pageMargins left="0.7" right="0.7" top="0.75" bottom="0.75" header="0.3" footer="0.3"/>
  <drawing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668EA-CF7C-4D63-9A89-5C15CDB32FB2}">
  <dimension ref="A1:D5"/>
  <sheetViews>
    <sheetView zoomScaleNormal="100" workbookViewId="0">
      <selection activeCell="C16" sqref="C16"/>
    </sheetView>
  </sheetViews>
  <sheetFormatPr defaultRowHeight="14.5" x14ac:dyDescent="0.35"/>
  <cols>
    <col min="1" max="1" width="19" customWidth="1"/>
    <col min="2" max="2" width="18.26953125" style="9" customWidth="1"/>
    <col min="3" max="3" width="19.54296875" style="9" customWidth="1"/>
    <col min="4" max="4" width="24" customWidth="1"/>
    <col min="5" max="5" width="85.7265625" customWidth="1"/>
  </cols>
  <sheetData>
    <row r="1" spans="1:4" ht="15.5" x14ac:dyDescent="0.35">
      <c r="A1" s="17" t="s">
        <v>2</v>
      </c>
      <c r="B1" s="18" t="s">
        <v>228</v>
      </c>
      <c r="C1" s="18" t="s">
        <v>229</v>
      </c>
      <c r="D1" s="17" t="s">
        <v>230</v>
      </c>
    </row>
    <row r="2" spans="1:4" ht="15.5" x14ac:dyDescent="0.35">
      <c r="A2" s="19" t="s">
        <v>209</v>
      </c>
      <c r="B2" s="20">
        <v>15000</v>
      </c>
      <c r="C2" s="20">
        <v>201184</v>
      </c>
      <c r="D2" s="19" t="str">
        <f t="shared" ref="D2:D5" si="0">IF(C2&gt;=B2, "Met", "Did Not Meet")</f>
        <v>Met</v>
      </c>
    </row>
    <row r="3" spans="1:4" ht="15.5" x14ac:dyDescent="0.35">
      <c r="A3" s="19" t="s">
        <v>207</v>
      </c>
      <c r="B3" s="20">
        <v>12000</v>
      </c>
      <c r="C3" s="20">
        <v>125281</v>
      </c>
      <c r="D3" s="19" t="str">
        <f t="shared" si="0"/>
        <v>Met</v>
      </c>
    </row>
    <row r="4" spans="1:4" ht="15.5" x14ac:dyDescent="0.35">
      <c r="A4" s="19" t="s">
        <v>210</v>
      </c>
      <c r="B4" s="20">
        <v>10000</v>
      </c>
      <c r="C4" s="20">
        <v>65481</v>
      </c>
      <c r="D4" s="19" t="str">
        <f t="shared" si="0"/>
        <v>Met</v>
      </c>
    </row>
    <row r="5" spans="1:4" ht="15.5" x14ac:dyDescent="0.35">
      <c r="A5" s="19" t="s">
        <v>208</v>
      </c>
      <c r="B5" s="20">
        <v>8000</v>
      </c>
      <c r="C5" s="20">
        <v>106631</v>
      </c>
      <c r="D5" s="19" t="str">
        <f t="shared" si="0"/>
        <v>Met</v>
      </c>
    </row>
  </sheetData>
  <pageMargins left="0.7" right="0.7" top="0.75" bottom="0.75" header="0.3" footer="0.3"/>
  <pageSetup orientation="portrait" r:id="rId1"/>
  <drawing r:id="rId2"/>
  <legacy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Kaggle Sales Data</vt:lpstr>
      <vt:lpstr>Sales by Region</vt:lpstr>
      <vt:lpstr>Sales by Product</vt:lpstr>
      <vt:lpstr>Top 3 Salespersons</vt:lpstr>
      <vt:lpstr>Sales Performance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Ayo Oduba</cp:lastModifiedBy>
  <cp:lastPrinted>2025-01-21T00:00:02Z</cp:lastPrinted>
  <dcterms:created xsi:type="dcterms:W3CDTF">2024-12-17T17:15:05Z</dcterms:created>
  <dcterms:modified xsi:type="dcterms:W3CDTF">2025-04-13T23:27:18Z</dcterms:modified>
</cp:coreProperties>
</file>